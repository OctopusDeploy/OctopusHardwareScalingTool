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Scenario 3" sheetId="1" r:id="rId4"/>
    <sheet state="visible" name="Scenario 1 - Component" sheetId="2" r:id="rId5"/>
    <sheet state="visible" name="Scenario 2 - Medium, Realistic" sheetId="3" r:id="rId6"/>
    <sheet state="visible" name="Scenario 3 Machine Parallelism" sheetId="4" r:id="rId7"/>
    <sheet state="visible" name="Scenario 4 - Step Parallelism" sheetId="5" r:id="rId8"/>
    <sheet state="visible" name="Scenario 56 - Limits" sheetId="6" r:id="rId9"/>
    <sheet state="visible" name="Scenario 7 - Variables" sheetId="7" r:id="rId10"/>
    <sheet state="visible" name="Scenario 8 - Large Packages" sheetId="8" r:id="rId11"/>
    <sheet state="visible" name="Cost Increase Calculator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This should be green?
	-Jim Pelletier
Or just be deleted - we got green at 4 cores, don't need a 4.5 version saying the same thing.
	-Steve Leigh</t>
      </text>
    </comment>
  </commentList>
</comments>
</file>

<file path=xl/sharedStrings.xml><?xml version="1.0" encoding="utf-8"?>
<sst xmlns="http://schemas.openxmlformats.org/spreadsheetml/2006/main" count="657" uniqueCount="222">
  <si>
    <t>Scenario 3 - Machine Parallelism</t>
  </si>
  <si>
    <t>Measures</t>
  </si>
  <si>
    <t>Configuration</t>
  </si>
  <si>
    <t>Hardware</t>
  </si>
  <si>
    <t>Task Cap 20</t>
  </si>
  <si>
    <t>Deployment archetype</t>
  </si>
  <si>
    <t>Basic Application</t>
  </si>
  <si>
    <t>Concurrent Deployments (Task Cap)</t>
  </si>
  <si>
    <t>Deployment Batch Size</t>
  </si>
  <si>
    <t>Concurrent Targets (per deployment)</t>
  </si>
  <si>
    <t>Variable</t>
  </si>
  <si>
    <t>Target type</t>
  </si>
  <si>
    <t>Tentacle Sim</t>
  </si>
  <si>
    <t>Limits</t>
  </si>
  <si>
    <t>Version</t>
  </si>
  <si>
    <t>Concurrent Targets</t>
  </si>
  <si>
    <t>Pipeline</t>
  </si>
  <si>
    <t>V1</t>
  </si>
  <si>
    <t>V2</t>
  </si>
  <si>
    <t>Actual hardware</t>
  </si>
  <si>
    <t>TC20</t>
  </si>
  <si>
    <t>Short Id (instance id)</t>
  </si>
  <si>
    <t>PTO Link</t>
  </si>
  <si>
    <t>Dashboard link</t>
  </si>
  <si>
    <t>Honeycomb link</t>
  </si>
  <si>
    <t>Thresholds / Scorecard</t>
  </si>
  <si>
    <t>Threshold</t>
  </si>
  <si>
    <t>Single execution duration (s)</t>
  </si>
  <si>
    <t>Total duration (s)</t>
  </si>
  <si>
    <t>VM CPU %</t>
  </si>
  <si>
    <t>DB CPU %</t>
  </si>
  <si>
    <t>Log IO %</t>
  </si>
  <si>
    <t>API Responsiveness (P95, ms)</t>
  </si>
  <si>
    <t>Traffic Light</t>
  </si>
  <si>
    <t>Cost Increase</t>
  </si>
  <si>
    <t>Detailed Results</t>
  </si>
  <si>
    <t>VM CPU Max</t>
  </si>
  <si>
    <t>VM CPU Avg</t>
  </si>
  <si>
    <t>DB CPU Max</t>
  </si>
  <si>
    <t>DB CPU Avg</t>
  </si>
  <si>
    <t>DB Log IO Max</t>
  </si>
  <si>
    <t>DB Log IO Avg</t>
  </si>
  <si>
    <t>Queue Time - Executions (ms)</t>
  </si>
  <si>
    <t>Queue Time - Low DB (ms)</t>
  </si>
  <si>
    <t>Scenario 1 - Component</t>
  </si>
  <si>
    <t>Status: Confirmed</t>
  </si>
  <si>
    <t>Task Cap 5</t>
  </si>
  <si>
    <t>Component</t>
  </si>
  <si>
    <t>Number of Deployments</t>
  </si>
  <si>
    <t>2025.4.51</t>
  </si>
  <si>
    <t>TC5</t>
  </si>
  <si>
    <t>i061466</t>
  </si>
  <si>
    <t>i061467</t>
  </si>
  <si>
    <t>https://pt-orch-production-web.azurewebsites.net/test-run/d11e58bf-60cf-4b00-8841-c4488cf38632</t>
  </si>
  <si>
    <t>https://pt-orch-production-web.azurewebsites.net/test-run/9a921ece-50be-4d50-8f79-417e54fb8171</t>
  </si>
  <si>
    <t>https://octopuscloudpreprod.de.sumologic.com/dashboard/9Xg0IUyvJxfknLvDTKXnaiQvRhNZXHCPr0pKfqrpCZd3akWw0rXE0Apc0CdY?variables=instance%3Ai061466&amp;useDefaultTimeRange=false&amp;timeRange=%5B%7B%22t%22%3A%22absolute%22%2C%22d%22%3A1757469716000%7D%2C%7B%22t%22%3A%22absolute%22%2C%22d%22%3A1757470432000%7D%5D</t>
  </si>
  <si>
    <t>https://octopuscloudpreprod.de.sumologic.com/dashboard/9Xg0IUyvJxfknLvDTKXnaiQvRhNZXHCPr0pKfqrpCZd3akWw0rXE0Apc0CdY?variables=instance%3Ai061467&amp;useDefaultTimeRange=false&amp;timeRange=%5B%7B%22t%22%3A%22absolute%22%2C%22d%22%3A1757469812000%7D%2C%7B%22t%22%3A%22absolute%22%2C%22d%22%3A1757470873000%7D%5D</t>
  </si>
  <si>
    <t>https://ui.honeycomb.io/octopus-deploy-93/environments/preprod/board/fCRPtQvjzfR/Resilient-Pipeline-Performance-Test-run?filters[]=%7B%22column%22%3A%22octopus.cloud.short_id%22%2C%22op%22%3A%22%3D%22%2C%22value%22%3A%22i061466%22%7D</t>
  </si>
  <si>
    <t>https://ui.honeycomb.io/octopus-deploy-93/environments/preprod/board/fCRPtQvjzfR/Resilient-Pipeline-Performance-Test-run?filters[]=%7B%22column%22%3A%22octopus.cloud.short_id%22%2C%22op%22%3A%22%3D%22%2C%22value%22%3A%22i061467%22%7D</t>
  </si>
  <si>
    <t>API Responsiveness (P95)</t>
  </si>
  <si>
    <t>🟢</t>
  </si>
  <si>
    <t>Compared to threshold</t>
  </si>
  <si>
    <t>Compared to total threshold</t>
  </si>
  <si>
    <t>Scenario 2 - Medium, Realistic</t>
  </si>
  <si>
    <t>i061908</t>
  </si>
  <si>
    <t>i061909</t>
  </si>
  <si>
    <t>https://pt-orch-production-web.azurewebsites.net/test-run/5f462d41-138f-4b9c-955d-2cf80b251904</t>
  </si>
  <si>
    <t>https://pt-orch-production-web.azurewebsites.net/test-run/b026529a-e688-453c-a193-61b2633bfb2f</t>
  </si>
  <si>
    <t>https://octopuscloudpreprod.de.sumologic.com/dashboard/9Xg0IUyvJxfknLvDTKXnaiQvRhNZXHCPr0pKfqrpCZd3akWw0rXE0Apc0CdY?variables=instance%3Ai061908&amp;useDefaultTimeRange=false&amp;timeRange=%5B%7B%22t%22%3A%22absolute%22%2C%22d%22%3A1757566804000%7D%2C%7B%22t%22%3A%22absolute%22%2C%22d%22%3A1757567400000%7D%5D</t>
  </si>
  <si>
    <t>https://octopuscloudpreprod.de.sumologic.com/dashboard/9Xg0IUyvJxfknLvDTKXnaiQvRhNZXHCPr0pKfqrpCZd3akWw0rXE0Apc0CdY?variables=instance%3Ai061909&amp;useDefaultTimeRange=false&amp;timeRange=%5B%7B%22t%22%3A%22absolute%22%2C%22d%22%3A1757566728000%7D%2C%7B%22t%22%3A%22absolute%22%2C%22d%22%3A1757567735000%7D%5D</t>
  </si>
  <si>
    <t>https://ui.honeycomb.io/octopus-deploy-93/environments/preprod/board/fCRPtQvjzfR/Resilient-Pipeline-Performance-Test-run?endTime=1757567770&amp;filters[]=%7B%22column%22%3A%22octopus.cloud.short_id%22%2C%22op%22%3A%22%3D%22%2C%22value%22%3A%22i061908%22%7D&amp;startTime=1757566085</t>
  </si>
  <si>
    <t>https://ui.honeycomb.io/octopus-deploy-93/environments/preprod/board/fCRPtQvjzfR/Resilient-Pipeline-Performance-Test-run?endTime=1757567824&amp;filters[]=%7B%22column%22%3A%22octopus.cloud.short_id%22%2C%22op%22%3A%22%3D%22%2C%22value%22%3A%22i061909%22%7D&amp;startTime=1757566036</t>
  </si>
  <si>
    <t>TC40</t>
  </si>
  <si>
    <t>V1 + 20%</t>
  </si>
  <si>
    <t>TC80</t>
  </si>
  <si>
    <t>/</t>
  </si>
  <si>
    <t>Relative Thresholds</t>
  </si>
  <si>
    <t>2025.4.3266</t>
  </si>
  <si>
    <t>Targets per Deployment</t>
  </si>
  <si>
    <t>CPU Millicores</t>
  </si>
  <si>
    <t>i064516</t>
  </si>
  <si>
    <t>i064517</t>
  </si>
  <si>
    <t>i064522</t>
  </si>
  <si>
    <t>i064519</t>
  </si>
  <si>
    <t>i064520</t>
  </si>
  <si>
    <t>https://pt-orch-production-web.azurewebsites.net/test-run/dda87339-d4a8-4d7d-9a9e-b6d4e4da6d1b</t>
  </si>
  <si>
    <t>https://pt-orch-production-web.azurewebsites.net/test-run/f8a09e42-7146-4096-8687-f07fa6e3abc1</t>
  </si>
  <si>
    <t>https://pt-orch-production-web.azurewebsites.net/test-run/d73f25ae-4490-437f-aefa-15d0f6ee65cb</t>
  </si>
  <si>
    <t>https://pt-orch-production-web.azurewebsites.net/test-run/115499d7-7f43-4228-8537-92afd53d7684</t>
  </si>
  <si>
    <t>https://pt-orch-production-web.azurewebsites.net/test-run/39cdf383-874d-40e0-9445-6dc067150499</t>
  </si>
  <si>
    <t>https://pt-orch-production-web.azurewebsites.net/test-run/6f3ebeca-8cb6-4adc-9856-58dbd0f581bc</t>
  </si>
  <si>
    <t>https://octopuscloudpreprod.de.sumologic.com/dashboard/9Xg0IUyvJxfknLvDTKXnaiQvRhNZXHCPr0pKfqrpCZd3akWw0rXE0Apc0CdY?variables=instance%3Ai064516&amp;useDefaultTimeRange=false&amp;timeRange=%5B%7B%22t%22%3A%22relative%22,%22d%22%3A-1800000%7D%5D</t>
  </si>
  <si>
    <t>https://octopuscloudpreprod.de.sumologic.com/dashboard/9Xg0IUyvJxfknLvDTKXnaiQvRhNZXHCPr0pKfqrpCZd3akWw0rXE0Apc0CdY?variables=instance%3Ai064517&amp;useDefaultTimeRange=false&amp;timeRange=%5B%7B%22t%22%3A%22relative%22,%22d%22%3A-1800000%7D%5D</t>
  </si>
  <si>
    <t>https://octopuscloudpreprod.de.sumologic.com/dashboard/9Xg0IUyvJxfknLvDTKXnaiQvRhNZXHCPr0pKfqrpCZd3akWw0rXE0Apc0CdY?variables=instance%3Ai064522&amp;useDefaultTimeRange=false&amp;timeRange=%5B%7B%22t%22%3A%22relative%22,%22d%22%3A-1800000%7D%5D</t>
  </si>
  <si>
    <t>https://octopuscloudpreprod.de.sumologic.com/dashboard/9Xg0IUyvJxfknLvDTKXnaiQvRhNZXHCPr0pKfqrpCZd3akWw0rXE0Apc0CdY?variables=instance%3Ai064519&amp;useDefaultTimeRange=false&amp;timeRange=%5B%7B%22t%22%3A%22relative%22,%22d%22%3A-1800000%7D%5D</t>
  </si>
  <si>
    <t>https://octopuscloudpreprod.de.sumologic.com/dashboard/9Xg0IUyvJxfknLvDTKXnaiQvRhNZXHCPr0pKfqrpCZd3akWw0rXE0Apc0CdY?variables=instance%3Ai064520&amp;useDefaultTimeRange=false&amp;timeRange=%5B%7B%22t%22%3A%22relative%22,%22d%22%3A-1800000%7D%5D</t>
  </si>
  <si>
    <t>https://ui.honeycomb.io/octopus-deploy-93/environments/preprod/board/fCRPtQvjzfR/Resilient-Pipeline-Performance-Test-run?endTime=0&amp;filters[]=%7B%22column%22%3A%22octopus.cloud.short_id%22%2C%22op%22%3A%22%3D%22%2C%22value%22%3A%22i064516%22%7D&amp;startTime=-86400</t>
  </si>
  <si>
    <t>https://ui.honeycomb.io/octopus-deploy-93/environments/preprod/board/fCRPtQvjzfR/Resilient-Pipeline-Performance-Test-run?endTime=0&amp;filters[]=%7B%22column%22%3A%22octopus.cloud.short_id%22%2C%22op%22%3A%22%3D%22%2C%22value%22%3A%22i064517%22%7D&amp;startTime=-86400</t>
  </si>
  <si>
    <t>https://ui.honeycomb.io/octopus-deploy-93/environments/preprod/board/fCRPtQvjzfR/Resilient-Pipeline-Performance-Test-run?endTime=0&amp;filters[]=%7B%22column%22%3A%22octopus.cloud.short_id%22%2C%22op%22%3A%22%3D%22%2C%22value%22%3A%22i064522%22%7D&amp;startTime=-86400</t>
  </si>
  <si>
    <t>https://ui.honeycomb.io/octopus-deploy-93/environments/preprod/board/fCRPtQvjzfR/Resilient-Pipeline-Performance-Test-run?endTime=0&amp;filters[]=%7B%22column%22%3A%22octopus.cloud.short_id%22%2C%22op%22%3A%22%3D%22%2C%22value%22%3A%22i064519%22%7D&amp;startTime=-86400</t>
  </si>
  <si>
    <t>https://ui.honeycomb.io/octopus-deploy-93/environments/preprod/board/fCRPtQvjzfR/Resilient-Pipeline-Performance-Test-run?endTime=0&amp;filters[]=%7B%22column%22%3A%22octopus.cloud.short_id%22%2C%22op%22%3A%22%3D%22%2C%22value%22%3A%22i064520%22%7D&amp;startTime=-86400</t>
  </si>
  <si>
    <t>V1 Reference</t>
  </si>
  <si>
    <t>🔴</t>
  </si>
  <si>
    <t>Scenario 3 - Step Parallelism</t>
  </si>
  <si>
    <t>Multi Service Application</t>
  </si>
  <si>
    <t>Concurrent Steps (per deployment)</t>
  </si>
  <si>
    <t>TC20 (4 core)</t>
  </si>
  <si>
    <t>i064428</t>
  </si>
  <si>
    <t>i064429</t>
  </si>
  <si>
    <t>i064430</t>
  </si>
  <si>
    <t>i064524</t>
  </si>
  <si>
    <t>i064431</t>
  </si>
  <si>
    <t>i064525</t>
  </si>
  <si>
    <t>i064432</t>
  </si>
  <si>
    <t>i064526</t>
  </si>
  <si>
    <t>i064433</t>
  </si>
  <si>
    <t>i064527</t>
  </si>
  <si>
    <t>https://pt-orch-production-web.azurewebsites.net/test-run/bac224b8-acb9-4670-a55d-a14d34f4b88d</t>
  </si>
  <si>
    <t>https://pt-orch-production-web.azurewebsites.net/test-run/380b428c-2c33-4321-9b68-1e567d023425</t>
  </si>
  <si>
    <t>https://pt-orch-production-web.azurewebsites.net/test-run/a2158a85-aa47-4cc6-aa4f-591fe9e258cf</t>
  </si>
  <si>
    <t>https://pt-orch-production-web.azurewebsites.net/test-run/2e9a0e10-3520-4088-90a3-cae1c95eef51</t>
  </si>
  <si>
    <t>https://pt-orch-production-web.azurewebsites.net/test-run/4a58df6f-74d3-49c5-af62-f8e776b2de9c</t>
  </si>
  <si>
    <t>https://pt-orch-production-web.azurewebsites.net/test-run/a6570c56-0cf7-4d65-9312-8769f50ec951</t>
  </si>
  <si>
    <t>https://pt-orch-production-web.azurewebsites.net/test-run/c6f08b7e-96bb-4aab-8022-da1510c09c5d</t>
  </si>
  <si>
    <t>https://pt-orch-production-web.azurewebsites.net/test-run/ff03b544-9c0d-4634-8795-48f2c6096b67</t>
  </si>
  <si>
    <t>https://pt-orch-production-web.azurewebsites.net/test-run/4c47746b-7cdc-4399-bd59-1fa777250485</t>
  </si>
  <si>
    <t>https://pt-orch-production-web.azurewebsites.net/test-run/23d89b90-776a-4325-9891-1ff107ad64a4</t>
  </si>
  <si>
    <t>https://octopuscloudpreprod.de.sumologic.com/dashboard/9Xg0IUyvJxfknLvDTKXnaiQvRhNZXHCPr0pKfqrpCZd3akWw0rXE0Apc0CdY?variables=instance%3Ai063826&amp;useDefaultTimeRange=false&amp;timeRange=%5B%7B%22t%22%3A%22absolute%22%2C%22d%22%3A1757978953000%7D%2C%7B%22t%22%3A%22absolute%22%2C%22d%22%3A1757981050000%7D%5D</t>
  </si>
  <si>
    <t>https://octopuscloudpreprod.de.sumologic.com/dashboard/9Xg0IUyvJxfknLvDTKXnaiQvRhNZXHCPr0pKfqrpCZd3akWw0rXE0Apc0CdY?variables=instance%3Ai063827&amp;useDefaultTimeRange=false&amp;timeRange=%5B%7B%22t%22%3A%22absolute%22%2C%22d%22%3A1757978953000%7D%2C%7B%22t%22%3A%22absolute%22%2C%22d%22%3A1757981037000%7D%5D</t>
  </si>
  <si>
    <t>https://octopuscloudpreprod.de.sumologic.com/dashboard/9Xg0IUyvJxfknLvDTKXnaiQvRhNZXHCPr0pKfqrpCZd3akWw0rXE0Apc0CdY?variables=instance%3Ai063828&amp;useDefaultTimeRange=false&amp;timeRange=%5B%7B%22t%22%3A%22absolute%22%2C%22d%22%3A1757978953000%7D%2C%7B%22t%22%3A%22absolute%22%2C%22d%22%3A1757981081000%7D%5D</t>
  </si>
  <si>
    <t>https://octopuscloudpreprod.de.sumologic.com/dashboard/9Xg0IUyvJxfknLvDTKXnaiQvRhNZXHCPr0pKfqrpCZd3akWw0rXE0Apc0CdY?variables=instance%3Ai063952&amp;useDefaultTimeRange=false&amp;timeRange=%5B%7B%22t%22%3A%22absolute%22%2C%22d%22%3A1757997685000%7D%2C%7B%22t%22%3A%22absolute%22%2C%22d%22%3A1757999821000%7D%5D</t>
  </si>
  <si>
    <t>https://octopuscloudpreprod.de.sumologic.com/dashboard/9Xg0IUyvJxfknLvDTKXnaiQvRhNZXHCPr0pKfqrpCZd3akWw0rXE0Apc0CdY?variables=instance%3Ai064525&amp;useDefaultTimeRange=false&amp;timeRange=%5B%7B%22t%22%3A%22absolute%22%2C%22d%22%3A1758505405000%7D%2C%7B%22t%22%3A%22absolute%22%2C%22d%22%3A1758506147000%7D%5D</t>
  </si>
  <si>
    <t>https://octopuscloudpreprod.de.sumologic.com/dashboard/9Xg0IUyvJxfknLvDTKXnaiQvRhNZXHCPr0pKfqrpCZd3akWw0rXE0Apc0CdY?variables=instance%3Ai064432&amp;useDefaultTimeRange=false&amp;timeRange=%5B%7B%22t%22%3A%22absolute%22%2C%22d%22%3A1758083403000%7D%2C%7B%22t%22%3A%22absolute%22%2C%22d%22%3A1758085783000%7D%5D</t>
  </si>
  <si>
    <t>https://octopuscloudpreprod.de.sumologic.com/dashboard/9Xg0IUyvJxfknLvDTKXnaiQvRhNZXHCPr0pKfqrpCZd3akWw0rXE0Apc0CdY?variables=instance%3Ai064526&amp;useDefaultTimeRange=false&amp;timeRange=%5B%7B%22t%22%3A%22absolute%22%2C%22d%22%3A1758505417000%7D%2C%7B%22t%22%3A%22absolute%22%2C%22d%22%3A1758506162000%7D%5D</t>
  </si>
  <si>
    <t>https://octopuscloudpreprod.de.sumologic.com/dashboard/9Xg0IUyvJxfknLvDTKXnaiQvRhNZXHCPr0pKfqrpCZd3akWw0rXE0Apc0CdY?variables=instance%3Ai064433&amp;useDefaultTimeRange=false&amp;timeRange=%5B%7B%22t%22%3A%22absolute%22%2C%22d%22%3A1758083403000%7D%2C%7B%22t%22%3A%22absolute%22%2C%22d%22%3A1758085806000%7D%5D</t>
  </si>
  <si>
    <t>https://octopuscloudpreprod.de.sumologic.com/dashboard/9Xg0IUyvJxfknLvDTKXnaiQvRhNZXHCPr0pKfqrpCZd3akWw0rXE0Apc0CdY?variables=instance%3Ai064527&amp;useDefaultTimeRange=false&amp;timeRange=%5B%7B%22t%22%3A%22absolute%22%2C%22d%22%3A1758505621000%7D%2C%7B%22t%22%3A%22absolute%22%2C%22d%22%3A1758506395000%7D%5D</t>
  </si>
  <si>
    <t>https://ui.honeycomb.io/octopus-deploy-93/environments/preprod/board/fCRPtQvjzfR/Resilient-Pipeline-Performance-Test-run?endTime=1758085432&amp;filters[]=%7B%22column%22%3A%22octopus.cloud.short_id%22%2C%22op%22%3A%22%3D%22%2C%22value%22%3A%22i064428%22%7D&amp;startTime=1758083775</t>
  </si>
  <si>
    <t>https://ui.honeycomb.io/octopus-deploy-93/environments/preprod/board/fCRPtQvjzfR/Resilient-Pipeline-Performance-Test-run?endTime=1758085459&amp;filters[]=%7B%22column%22%3A%22octopus.cloud.short_id%22%2C%22op%22%3A%22%3D%22%2C%22value%22%3A%22i064429%22%7D&amp;startTime=1758083750</t>
  </si>
  <si>
    <t>https://ui.honeycomb.io/octopus-deploy-93/environments/preprod/board/fCRPtQvjzfR/Resilient-Pipeline-Performance-Test-run?endTime=1757981141&amp;filters[]=%7B%22column%22%3A%22octopus.cloud.short_id%22%2C%22op%22%3A%22%3D%22%2C%22value%22%3A%22i063828%22%7D&amp;startTime=1757979295</t>
  </si>
  <si>
    <t>https://ui.honeycomb.io/octopus-deploy-93/environments/preprod/board/fCRPtQvjzfR/Resilient-Pipeline-Performance-Test-run?endTime=1758506227&amp;filters[]=%7B%22column%22%3A%22octopus.cloud.short_id%22%2C%22op%22%3A%22%3D%22%2C%22value%22%3A%22i064524%22%7D&amp;startTime=1758504466</t>
  </si>
  <si>
    <t>https://ui.honeycomb.io/octopus-deploy-93/environments/preprod/board/fCRPtQvjzfR/Resilient-Pipeline-Performance-Test-run?endTime=1757999897&amp;filters[]=%7B%22column%22%3A%22octopus.cloud.short_id%22%2C%22op%22%3A%22%3D%22%2C%22value%22%3A%22i063952%22%7D&amp;startTime=1757998001</t>
  </si>
  <si>
    <t>https://ui.honeycomb.io/octopus-deploy-93/environments/preprod/board/fCRPtQvjzfR/Resilient-Pipeline-Performance-Test-run?endTime=1758506199&amp;filters[]=%7B%22column%22%3A%22octopus.cloud.short_id%22%2C%22op%22%3A%22%3D%22%2C%22value%22%3A%22i064525%22%7D&amp;startTime=1758504567</t>
  </si>
  <si>
    <t>https://ui.honeycomb.io/octopus-deploy-93/environments/preprod/board/fCRPtQvjzfR/Resilient-Pipeline-Performance-Test-run?endTime=1758085840&amp;filters[]=%7B%22column%22%3A%22octopus.cloud.short_id%22%2C%22op%22%3A%22%3D%22%2C%22value%22%3A%22i064432%22%7D&amp;startTime=1758083885</t>
  </si>
  <si>
    <t>https://ui.honeycomb.io/octopus-deploy-93/environments/preprod/board/fCRPtQvjzfR/Resilient-Pipeline-Performance-Test-run?endTime=1758506499&amp;filters[]=%7B%22column%22%3A%22octopus.cloud.short_id%22%2C%22op%22%3A%22%3D%22%2C%22value%22%3A%22i064526%22%7D&amp;startTime=1758504724</t>
  </si>
  <si>
    <t>https://ui.honeycomb.io/octopus-deploy-93/environments/preprod/board/fCRPtQvjzfR/Resilient-Pipeline-Performance-Test-run?endTime=1758085851&amp;filters[]=%7B%22column%22%3A%22octopus.cloud.short_id%22%2C%22op%22%3A%22%3D%22%2C%22value%22%3A%22i064433%22%7D&amp;startTime=1758083879</t>
  </si>
  <si>
    <t>🟡</t>
  </si>
  <si>
    <t>Scenario 5/6 Limits</t>
  </si>
  <si>
    <t>Status: Some...</t>
  </si>
  <si>
    <t>Varies</t>
  </si>
  <si>
    <t>Large Application</t>
  </si>
  <si>
    <t>N</t>
  </si>
  <si>
    <t>N * 2</t>
  </si>
  <si>
    <t>Tentacle Simulator</t>
  </si>
  <si>
    <t>2025.4.1239</t>
  </si>
  <si>
    <t>Task Cap</t>
  </si>
  <si>
    <t>Target Count</t>
  </si>
  <si>
    <t>Default cores</t>
  </si>
  <si>
    <t>Core Count Override</t>
  </si>
  <si>
    <t>Storage</t>
  </si>
  <si>
    <t>Standard</t>
  </si>
  <si>
    <t>https://pt-orch-production-web.azurewebsites.net/test-run/18f759a7-a9c6-4ef5-8fee-af29cd12dd2a</t>
  </si>
  <si>
    <t>https://pt-orch-production-web.azurewebsites.net/test-run/2086f7f4-6cef-4091-85c7-5b6282a48164</t>
  </si>
  <si>
    <t>https://pt-orch-production-web.azurewebsites.net/test-run/9e9b5ba1-89e2-4acd-9eec-2a44f990fb8b</t>
  </si>
  <si>
    <t>https://pt-orch-production-web.azurewebsites.net/test-run/a7ea0cf9-8c21-4249-ba7d-4b0c906b82f4</t>
  </si>
  <si>
    <t>https://pt-orch-production-web.azurewebsites.net/test-run/b3e815e5-5534-4fd0-9c98-bf397ecc16cf</t>
  </si>
  <si>
    <t>https://pt-orch-production-web.azurewebsites.net/test-run/c7b73edb-85b9-426a-a556-96f28aa9988d</t>
  </si>
  <si>
    <t>https://pt-orch-production-web.azurewebsites.net/test-run/4d05f611-238f-4a8a-89d1-0a978bba410d</t>
  </si>
  <si>
    <t>https://pt-orch-production-web.azurewebsites.net/test-run/be36f4f6-50c1-4b70-8c5e-9cec7c656085</t>
  </si>
  <si>
    <t>https://pt-orch-production-web.azurewebsites.net/test-run/3aa0d931-0e41-45fd-b9b9-2d3e08eb5a49</t>
  </si>
  <si>
    <t>Failed</t>
  </si>
  <si>
    <t>Scenario 7 - Variable sizes</t>
  </si>
  <si>
    <t>Not done - different dimensions of scale needed</t>
  </si>
  <si>
    <t>No particular - use as relative comparison with V1</t>
  </si>
  <si>
    <t>Number of Variables</t>
  </si>
  <si>
    <t>Total Variable size (k characters)</t>
  </si>
  <si>
    <t>Compared to V1</t>
  </si>
  <si>
    <t>Scenario 8 - Large Packages</t>
  </si>
  <si>
    <t>Status: Blocked (Pack Acq)</t>
  </si>
  <si>
    <t>Package size</t>
  </si>
  <si>
    <t>1MB</t>
  </si>
  <si>
    <t>10MB</t>
  </si>
  <si>
    <t>100MB</t>
  </si>
  <si>
    <t>1GB</t>
  </si>
  <si>
    <t>i064487</t>
  </si>
  <si>
    <t>i064490</t>
  </si>
  <si>
    <t>i064488</t>
  </si>
  <si>
    <t>i064492</t>
  </si>
  <si>
    <t>i064489</t>
  </si>
  <si>
    <t>i064493</t>
  </si>
  <si>
    <t>i064491</t>
  </si>
  <si>
    <t>i064494</t>
  </si>
  <si>
    <t>https://pt-orch-production-web.azurewebsites.net/test-run/5c0178f7-9b0d-40f7-9522-8c164c019c84</t>
  </si>
  <si>
    <t>https://pt-orch-production-web.azurewebsites.net/test-run/6786cb64-f568-48cc-95ee-98a55bb6223e</t>
  </si>
  <si>
    <t>https://pt-orch-production-web.azurewebsites.net/test-run/679f6e5b-be9f-43c6-892a-10ac0fa91f27</t>
  </si>
  <si>
    <t>https://pt-orch-production-web.azurewebsites.net/test-run/aded718e-b127-46dc-9b05-6e3445288c0f</t>
  </si>
  <si>
    <t>https://pt-orch-production-web.azurewebsites.net/test-run/1bb7d5d8-2d54-4f30-be29-31126c9288ae</t>
  </si>
  <si>
    <t>https://pt-orch-production-web.azurewebsites.net/test-run/3bc82dd1-a294-4c7e-9937-6a58dd1acf16</t>
  </si>
  <si>
    <t>https://pt-orch-production-web.azurewebsites.net/test-run/3241bc3e-2ec8-4d09-a29a-d6cc162212a5</t>
  </si>
  <si>
    <t>https://pt-orch-production-web.azurewebsites.net/test-run/9de0fe31-ab17-4847-be70-3996ddfefa95</t>
  </si>
  <si>
    <t>https://octopuscloudpreprod.de.sumologic.com/dashboard/9Xg0IUyvJxfknLvDTKXnaiQvRhNZXHCPr0pKfqrpCZd3akWw0rXE0Apc0CdY?variables=instance%3Ai064487&amp;useDefaultTimeRange=false&amp;timeRange=%5B%7B%22t%22%3A%22absolute%22,%22d%22%3A1758492201317%7D,%7B%22t%22%3A%22absolute%22,%22d%22%3A1758494289788%7D%5D</t>
  </si>
  <si>
    <t>https://octopuscloudpreprod.de.sumologic.com/dashboard/9Xg0IUyvJxfknLvDTKXnaiQvRhNZXHCPr0pKfqrpCZd3akWw0rXE0Apc0CdY?variables=instance%3Ai064490&amp;useDefaultTimeRange=false&amp;timeRange=%5B%7B%22t%22%3A%22absolute%22,%22d%22%3A1758492201930%7D,%7B%22t%22%3A%22absolute%22,%22d%22%3A1758494328285%7D%5D</t>
  </si>
  <si>
    <t>https://octopuscloudpreprod.de.sumologic.com/dashboard/9Xg0IUyvJxfknLvDTKXnaiQvRhNZXHCPr0pKfqrpCZd3akWw0rXE0Apc0CdY?variables=instance%3Ai064488&amp;useDefaultTimeRange=false&amp;timeRange=%5B%7B%22t%22%3A%22absolute%22%2C%22d%22%3A1758492201000%7D%2C%7B%22t%22%3A%22absolute%22%2C%22d%22%3A1758494180000%7D%5D</t>
  </si>
  <si>
    <t>https://octopuscloudpreprod.de.sumologic.com/dashboard/9Xg0IUyvJxfknLvDTKXnaiQvRhNZXHCPr0pKfqrpCZd3akWw0rXE0Apc0CdY?variables=instance%3Ai064492&amp;useDefaultTimeRange=false&amp;timeRange=%5B%7B%22t%22%3A%22absolute%22%2C%22d%22%3A1758492202000%7D%2C%7B%22t%22%3A%22absolute%22%2C%22d%22%3A1758494316000%7D%5D</t>
  </si>
  <si>
    <t>https://octopuscloudpreprod.de.sumologic.com/dashboard/9Xg0IUyvJxfknLvDTKXnaiQvRhNZXHCPr0pKfqrpCZd3akWw0rXE0Apc0CdY?variables=instance%3Ai064489&amp;useDefaultTimeRange=false&amp;timeRange=%5B%7B%22t%22%3A%22absolute%22,%22d%22%3A1758492201720%7D,%7B%22t%22%3A%22absolute%22,%22d%22%3A1758494445230%7D%5D</t>
  </si>
  <si>
    <t>https://octopuscloudpreprod.de.sumologic.com/dashboard/9Xg0IUyvJxfknLvDTKXnaiQvRhNZXHCPr0pKfqrpCZd3akWw0rXE0Apc0CdY?variables=instance%3Ai064493&amp;useDefaultTimeRange=false&amp;timeRange=%5B%7B%22t%22%3A%22absolute%22%2C%22d%22%3A1758492202000%7D%2C%7B%22t%22%3A%22absolute%22%2C%22d%22%3A1758494515000%7D%5D</t>
  </si>
  <si>
    <t>https://octopuscloudpreprod.de.sumologic.com/dashboard/9Xg0IUyvJxfknLvDTKXnaiQvRhNZXHCPr0pKfqrpCZd3akWw0rXE0Apc0CdY?variables=instance%3Ai064491&amp;useDefaultTimeRange=false&amp;timeRange=%5B%7B%22t%22%3A%22absolute%22%2C%22d%22%3A1758492201000%7D%2C%7B%22t%22%3A%22absolute%22%2C%22d%22%3A1758495512000%7D%5D</t>
  </si>
  <si>
    <t>https://octopuscloudpreprod.de.sumologic.com/dashboard/9Xg0IUyvJxfknLvDTKXnaiQvRhNZXHCPr0pKfqrpCZd3akWw0rXE0Apc0CdY?variables=instance%3Ai064494&amp;useDefaultTimeRange=false&amp;timeRange=%5B%7B%22t%22%3A%22absolute%22%2C%22d%22%3A1758492202000%7D%2C%7B%22t%22%3A%22absolute%22%2C%22d%22%3A1758495456000%7D%5D</t>
  </si>
  <si>
    <t>Average execution duration (s)</t>
  </si>
  <si>
    <t>200ms</t>
  </si>
  <si>
    <t>Name</t>
  </si>
  <si>
    <t>OldCores</t>
  </si>
  <si>
    <t>NewCores</t>
  </si>
  <si>
    <t>DurationMinutes</t>
  </si>
  <si>
    <t>ExpectedRunsPerMonth</t>
  </si>
  <si>
    <t>CPU Increase %</t>
  </si>
  <si>
    <t>Scaled CPU Increase</t>
  </si>
  <si>
    <t>Monthly Cost increase</t>
  </si>
  <si>
    <t>Example, 1 short run per month</t>
  </si>
  <si>
    <t>Example 2, nightly 8hr runs</t>
  </si>
  <si>
    <t>Scenario 3</t>
  </si>
  <si>
    <t>Scenario 4</t>
  </si>
  <si>
    <t>TC40 at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</si>
</sst>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00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Roboto"/>
    </font>
    <font>
      <b/>
      <color theme="1"/>
      <name val="Arial"/>
    </font>
    <font>
      <sz val="12.0"/>
      <color rgb="FF212529"/>
      <name val="Roboto"/>
    </font>
    <font>
      <u/>
      <color rgb="FF0000FF"/>
    </font>
    <font>
      <u/>
      <color rgb="FF0000FF"/>
    </font>
    <font>
      <color theme="1"/>
      <name val="Arial"/>
    </font>
    <font>
      <b/>
      <color rgb="FFFFFFFF"/>
      <name val="Arial"/>
    </font>
    <font>
      <u/>
      <color rgb="FF1155CC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6"/>
        <bgColor theme="6"/>
      </patternFill>
    </fill>
    <fill>
      <patternFill patternType="solid">
        <fgColor rgb="FFF4C7C3"/>
        <bgColor rgb="FFF4C7C3"/>
      </patternFill>
    </fill>
    <fill>
      <patternFill patternType="solid">
        <fgColor rgb="FFF4CCCC"/>
        <bgColor rgb="FFF4CCCC"/>
      </patternFill>
    </fill>
    <fill>
      <patternFill patternType="solid">
        <fgColor rgb="FFFCE8B2"/>
        <bgColor rgb="FFFCE8B2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0" fontId="3" numFmtId="0" xfId="0" applyFont="1"/>
    <xf borderId="0" fillId="0" fontId="3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1" numFmtId="0" xfId="0" applyFont="1"/>
    <xf borderId="0" fillId="3" fontId="2" numFmtId="0" xfId="0" applyAlignment="1" applyFill="1" applyFont="1">
      <alignment readingOrder="0"/>
    </xf>
    <xf borderId="0" fillId="3" fontId="4" numFmtId="0" xfId="0" applyFont="1"/>
    <xf borderId="0" fillId="0" fontId="5" numFmtId="1" xfId="0" applyAlignment="1" applyFont="1" applyNumberFormat="1">
      <alignment readingOrder="0" shrinkToFit="0" vertical="bottom" wrapText="1"/>
    </xf>
    <xf borderId="0" fillId="0" fontId="6" numFmtId="1" xfId="0" applyAlignment="1" applyFont="1" applyNumberFormat="1">
      <alignment readingOrder="0" vertical="bottom"/>
    </xf>
    <xf borderId="0" fillId="0" fontId="6" numFmtId="1" xfId="0" applyAlignment="1" applyFont="1" applyNumberFormat="1">
      <alignment vertical="bottom"/>
    </xf>
    <xf borderId="0" fillId="4" fontId="5" numFmtId="1" xfId="0" applyAlignment="1" applyFill="1" applyFont="1" applyNumberFormat="1">
      <alignment shrinkToFit="0" vertical="bottom" wrapText="1"/>
    </xf>
    <xf borderId="0" fillId="4" fontId="3" numFmtId="0" xfId="0" applyFont="1"/>
    <xf borderId="0" fillId="0" fontId="5" numFmtId="1" xfId="0" applyAlignment="1" applyFont="1" applyNumberFormat="1">
      <alignment shrinkToFit="0" vertical="bottom" wrapText="1"/>
    </xf>
    <xf borderId="0" fillId="4" fontId="6" numFmtId="1" xfId="0" applyAlignment="1" applyFont="1" applyNumberFormat="1">
      <alignment vertical="bottom"/>
    </xf>
    <xf borderId="0" fillId="0" fontId="6" numFmtId="0" xfId="0" applyAlignment="1" applyFont="1">
      <alignment readingOrder="0" vertical="bottom"/>
    </xf>
    <xf borderId="0" fillId="5" fontId="3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7" fontId="3" numFmtId="0" xfId="0" applyAlignment="1" applyFill="1" applyFont="1">
      <alignment readingOrder="0"/>
    </xf>
    <xf borderId="0" fillId="0" fontId="3" numFmtId="10" xfId="0" applyFont="1" applyNumberFormat="1"/>
    <xf borderId="0" fillId="4" fontId="3" numFmtId="0" xfId="0" applyAlignment="1" applyFont="1">
      <alignment readingOrder="0"/>
    </xf>
    <xf borderId="0" fillId="0" fontId="3" numFmtId="3" xfId="0" applyFont="1" applyNumberFormat="1"/>
    <xf borderId="0" fillId="0" fontId="3" numFmtId="0" xfId="0" applyAlignment="1" applyFont="1">
      <alignment horizontal="center" readingOrder="0"/>
    </xf>
    <xf borderId="0" fillId="0" fontId="3" numFmtId="0" xfId="0" applyFont="1"/>
    <xf borderId="0" fillId="8" fontId="3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3" fontId="10" numFmtId="0" xfId="0" applyAlignment="1" applyFont="1">
      <alignment vertical="bottom"/>
    </xf>
    <xf borderId="0" fillId="10" fontId="3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7" fontId="10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/>
    </xf>
    <xf borderId="0" fillId="0" fontId="3" numFmtId="10" xfId="0" applyAlignment="1" applyFont="1" applyNumberFormat="1">
      <alignment readingOrder="0"/>
    </xf>
    <xf borderId="0" fillId="0" fontId="10" numFmtId="0" xfId="0" applyAlignment="1" applyFont="1">
      <alignment vertical="bottom"/>
    </xf>
    <xf borderId="0" fillId="4" fontId="10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2" fontId="3" numFmtId="0" xfId="0" applyFont="1"/>
    <xf borderId="0" fillId="3" fontId="3" numFmtId="0" xfId="0" applyFont="1"/>
    <xf borderId="0" fillId="12" fontId="3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2" fontId="11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2" fontId="10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5" fontId="10" numFmtId="0" xfId="0" applyAlignment="1" applyFont="1">
      <alignment vertical="bottom"/>
    </xf>
    <xf borderId="0" fillId="13" fontId="10" numFmtId="0" xfId="0" applyAlignment="1" applyFill="1" applyFont="1">
      <alignment horizontal="right" vertical="bottom"/>
    </xf>
    <xf borderId="0" fillId="0" fontId="12" numFmtId="0" xfId="0" applyAlignment="1" applyFont="1">
      <alignment vertical="bottom"/>
    </xf>
    <xf borderId="0" fillId="3" fontId="11" numFmtId="0" xfId="0" applyAlignment="1" applyFont="1">
      <alignment vertical="bottom"/>
    </xf>
    <xf borderId="0" fillId="7" fontId="10" numFmtId="0" xfId="0" applyAlignment="1" applyFont="1">
      <alignment horizontal="right" vertical="bottom"/>
    </xf>
    <xf borderId="0" fillId="9" fontId="10" numFmtId="0" xfId="0" applyAlignment="1" applyFont="1">
      <alignment readingOrder="0" vertical="bottom"/>
    </xf>
    <xf borderId="0" fillId="11" fontId="10" numFmtId="0" xfId="0" applyAlignment="1" applyFont="1">
      <alignment horizontal="right" vertical="bottom"/>
    </xf>
    <xf borderId="0" fillId="0" fontId="10" numFmtId="0" xfId="0" applyAlignment="1" applyFont="1">
      <alignment horizontal="right" readingOrder="0" vertical="bottom"/>
    </xf>
    <xf borderId="0" fillId="0" fontId="10" numFmtId="0" xfId="0" applyAlignment="1" applyFont="1">
      <alignment horizontal="center" readingOrder="0" vertical="bottom"/>
    </xf>
    <xf borderId="0" fillId="0" fontId="10" numFmtId="10" xfId="0" applyAlignment="1" applyFont="1" applyNumberFormat="1">
      <alignment horizontal="right" vertical="bottom"/>
    </xf>
    <xf borderId="0" fillId="0" fontId="10" numFmtId="1" xfId="0" applyAlignment="1" applyFont="1" applyNumberFormat="1">
      <alignment vertical="bottom"/>
    </xf>
    <xf borderId="0" fillId="4" fontId="10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readingOrder="0"/>
    </xf>
    <xf borderId="1" fillId="0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3" fillId="0" fontId="3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10" xfId="0" applyAlignment="1" applyBorder="1" applyFont="1" applyNumberFormat="1">
      <alignment readingOrder="0" shrinkToFit="0" vertical="center" wrapText="0"/>
    </xf>
    <xf borderId="6" fillId="0" fontId="3" numFmtId="10" xfId="0" applyAlignment="1" applyBorder="1" applyFont="1" applyNumberFormat="1">
      <alignment readingOrder="0" shrinkToFit="0" vertical="center" wrapText="0"/>
    </xf>
    <xf borderId="7" fillId="0" fontId="3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8" fillId="0" fontId="3" numFmtId="10" xfId="0" applyAlignment="1" applyBorder="1" applyFont="1" applyNumberFormat="1">
      <alignment readingOrder="0" shrinkToFit="0" vertical="center" wrapText="0"/>
    </xf>
    <xf borderId="9" fillId="0" fontId="3" numFmtId="10" xfId="0" applyAlignment="1" applyBorder="1" applyFont="1" applyNumberFormat="1">
      <alignment readingOrder="0"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10" fillId="0" fontId="3" numFmtId="0" xfId="0" applyAlignment="1" applyBorder="1" applyFont="1">
      <alignment readingOrder="0" shrinkToFit="0" vertical="center" wrapText="0"/>
    </xf>
    <xf borderId="11" fillId="0" fontId="3" numFmtId="0" xfId="0" applyAlignment="1" applyBorder="1" applyFont="1">
      <alignment readingOrder="0" shrinkToFit="0" vertical="center" wrapText="0"/>
    </xf>
    <xf borderId="11" fillId="0" fontId="3" numFmtId="10" xfId="0" applyAlignment="1" applyBorder="1" applyFont="1" applyNumberFormat="1">
      <alignment readingOrder="0" shrinkToFit="0" vertical="center" wrapText="0"/>
    </xf>
    <xf borderId="12" fillId="0" fontId="3" numFmtId="10" xfId="0" applyAlignment="1" applyBorder="1" applyFont="1" applyNumberFormat="1">
      <alignment readingOrder="0" shrinkToFit="0" vertical="center" wrapText="0"/>
    </xf>
    <xf borderId="0" fillId="0" fontId="3" numFmtId="165" xfId="0" applyFont="1" applyNumberFormat="1"/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Cost Increase Calculator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6" displayName="Cost_Increases" name="Cost_Increases" id="1">
  <tableColumns count="8">
    <tableColumn name="Name" id="1"/>
    <tableColumn name="OldCores" id="2"/>
    <tableColumn name="NewCores" id="3"/>
    <tableColumn name="DurationMinutes" id="4"/>
    <tableColumn name="ExpectedRunsPerMonth" id="5"/>
    <tableColumn name="CPU Increase %" id="6"/>
    <tableColumn name="Scaled CPU Increase" id="7"/>
    <tableColumn name="Monthly Cost increase" id="8"/>
  </tableColumns>
  <tableStyleInfo name="Cost Increase Calculat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t-orch-production-web.azurewebsites.net/test-run/d11e58bf-60cf-4b00-8841-c4488cf38632" TargetMode="External"/><Relationship Id="rId2" Type="http://schemas.openxmlformats.org/officeDocument/2006/relationships/hyperlink" Target="https://pt-orch-production-web.azurewebsites.net/test-run/9a921ece-50be-4d50-8f79-417e54fb8171" TargetMode="External"/><Relationship Id="rId3" Type="http://schemas.openxmlformats.org/officeDocument/2006/relationships/hyperlink" Target="https://octopuscloudpreprod.de.sumologic.com/dashboard/9Xg0IUyvJxfknLvDTKXnaiQvRhNZXHCPr0pKfqrpCZd3akWw0rXE0Apc0CdY?variables=instance%3Ai061466&amp;useDefaultTimeRange=false&amp;timeRange=%5B%7B%22t%22%3A%22absolute%22%2C%22d%22%3A1757469716000%7D%2C%7B%22t%22%3A%22absolute%22%2C%22d%22%3A1757470432000%7D%5D" TargetMode="External"/><Relationship Id="rId4" Type="http://schemas.openxmlformats.org/officeDocument/2006/relationships/hyperlink" Target="https://octopuscloudpreprod.de.sumologic.com/dashboard/9Xg0IUyvJxfknLvDTKXnaiQvRhNZXHCPr0pKfqrpCZd3akWw0rXE0Apc0CdY?variables=instance%3Ai061467&amp;useDefaultTimeRange=false&amp;timeRange=%5B%7B%22t%22%3A%22absolute%22%2C%22d%22%3A1757469812000%7D%2C%7B%22t%22%3A%22absolute%22%2C%22d%22%3A1757470873000%7D%5D" TargetMode="External"/><Relationship Id="rId5" Type="http://schemas.openxmlformats.org/officeDocument/2006/relationships/hyperlink" Target="https://ui.honeycomb.io/octopus-deploy-93/environments/preprod/board/fCRPtQvjzfR/Resilient-Pipeline-Performance-Test-run?filters%5B%5D=%7B%22column%22%3A%22octopus.cloud.short_id%22%2C%22op%22%3A%22%3D%22%2C%22value%22%3A%22i061466%22%7D" TargetMode="External"/><Relationship Id="rId6" Type="http://schemas.openxmlformats.org/officeDocument/2006/relationships/hyperlink" Target="https://ui.honeycomb.io/octopus-deploy-93/environments/preprod/board/fCRPtQvjzfR/Resilient-Pipeline-Performance-Test-run?filters%5B%5D=%7B%22column%22%3A%22octopus.cloud.short_id%22%2C%22op%22%3A%22%3D%22%2C%22value%22%3A%22i061467%22%7D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t-orch-production-web.azurewebsites.net/test-run/5f462d41-138f-4b9c-955d-2cf80b251904" TargetMode="External"/><Relationship Id="rId2" Type="http://schemas.openxmlformats.org/officeDocument/2006/relationships/hyperlink" Target="https://pt-orch-production-web.azurewebsites.net/test-run/b026529a-e688-453c-a193-61b2633bfb2f" TargetMode="External"/><Relationship Id="rId3" Type="http://schemas.openxmlformats.org/officeDocument/2006/relationships/hyperlink" Target="https://octopuscloudpreprod.de.sumologic.com/dashboard/9Xg0IUyvJxfknLvDTKXnaiQvRhNZXHCPr0pKfqrpCZd3akWw0rXE0Apc0CdY?variables=instance%3Ai061908&amp;useDefaultTimeRange=false&amp;timeRange=%5B%7B%22t%22%3A%22absolute%22%2C%22d%22%3A1757566804000%7D%2C%7B%22t%22%3A%22absolute%22%2C%22d%22%3A1757567400000%7D%5D" TargetMode="External"/><Relationship Id="rId4" Type="http://schemas.openxmlformats.org/officeDocument/2006/relationships/hyperlink" Target="https://octopuscloudpreprod.de.sumologic.com/dashboard/9Xg0IUyvJxfknLvDTKXnaiQvRhNZXHCPr0pKfqrpCZd3akWw0rXE0Apc0CdY?variables=instance%3Ai061909&amp;useDefaultTimeRange=false&amp;timeRange=%5B%7B%22t%22%3A%22absolute%22%2C%22d%22%3A1757566728000%7D%2C%7B%22t%22%3A%22absolute%22%2C%22d%22%3A1757567735000%7D%5D" TargetMode="External"/><Relationship Id="rId5" Type="http://schemas.openxmlformats.org/officeDocument/2006/relationships/hyperlink" Target="https://ui.honeycomb.io/octopus-deploy-93/environments/preprod/board/fCRPtQvjzfR/Resilient-Pipeline-Performance-Test-run?endTime=1757567770&amp;filters%5B%5D=%7B%22column%22%3A%22octopus.cloud.short_id%22%2C%22op%22%3A%22%3D%22%2C%22value%22%3A%22i061908%22%7D&amp;startTime=1757566085" TargetMode="External"/><Relationship Id="rId6" Type="http://schemas.openxmlformats.org/officeDocument/2006/relationships/hyperlink" Target="https://ui.honeycomb.io/octopus-deploy-93/environments/preprod/board/fCRPtQvjzfR/Resilient-Pipeline-Performance-Test-run?endTime=1757567824&amp;filters%5B%5D=%7B%22column%22%3A%22octopus.cloud.short_id%22%2C%22op%22%3A%22%3D%22%2C%22value%22%3A%22i061909%22%7D&amp;startTime=1757566036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octopuscloudpreprod.de.sumologic.com/dashboard/9Xg0IUyvJxfknLvDTKXnaiQvRhNZXHCPr0pKfqrpCZd3akWw0rXE0Apc0CdY?variables=instance%3Ai064519&amp;useDefaultTimeRange=false&amp;timeRange=%5B%7B%22t%22%3A%22relative%22,%22d%22%3A-1800000%7D%5D" TargetMode="External"/><Relationship Id="rId10" Type="http://schemas.openxmlformats.org/officeDocument/2006/relationships/hyperlink" Target="https://octopuscloudpreprod.de.sumologic.com/dashboard/9Xg0IUyvJxfknLvDTKXnaiQvRhNZXHCPr0pKfqrpCZd3akWw0rXE0Apc0CdY?variables=instance%3Ai064522&amp;useDefaultTimeRange=false&amp;timeRange=%5B%7B%22t%22%3A%22relative%22,%22d%22%3A-1800000%7D%5D" TargetMode="External"/><Relationship Id="rId13" Type="http://schemas.openxmlformats.org/officeDocument/2006/relationships/hyperlink" Target="https://ui.honeycomb.io/octopus-deploy-93/environments/preprod/board/fCRPtQvjzfR/Resilient-Pipeline-Performance-Test-run?endTime=0&amp;filters%5B%5D=%7B%22column%22%3A%22octopus.cloud.short_id%22%2C%22op%22%3A%22%3D%22%2C%22value%22%3A%22i064516%22%7D&amp;startTime=-86400" TargetMode="External"/><Relationship Id="rId12" Type="http://schemas.openxmlformats.org/officeDocument/2006/relationships/hyperlink" Target="https://octopuscloudpreprod.de.sumologic.com/dashboard/9Xg0IUyvJxfknLvDTKXnaiQvRhNZXHCPr0pKfqrpCZd3akWw0rXE0Apc0CdY?variables=instance%3Ai064520&amp;useDefaultTimeRange=false&amp;timeRange=%5B%7B%22t%22%3A%22relative%22,%22d%22%3A-1800000%7D%5D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pt-orch-production-web.azurewebsites.net/test-run/dda87339-d4a8-4d7d-9a9e-b6d4e4da6d1b" TargetMode="External"/><Relationship Id="rId3" Type="http://schemas.openxmlformats.org/officeDocument/2006/relationships/hyperlink" Target="https://pt-orch-production-web.azurewebsites.net/test-run/f8a09e42-7146-4096-8687-f07fa6e3abc1" TargetMode="External"/><Relationship Id="rId4" Type="http://schemas.openxmlformats.org/officeDocument/2006/relationships/hyperlink" Target="https://pt-orch-production-web.azurewebsites.net/test-run/d73f25ae-4490-437f-aefa-15d0f6ee65cb" TargetMode="External"/><Relationship Id="rId9" Type="http://schemas.openxmlformats.org/officeDocument/2006/relationships/hyperlink" Target="https://octopuscloudpreprod.de.sumologic.com/dashboard/9Xg0IUyvJxfknLvDTKXnaiQvRhNZXHCPr0pKfqrpCZd3akWw0rXE0Apc0CdY?variables=instance%3Ai064517&amp;useDefaultTimeRange=false&amp;timeRange=%5B%7B%22t%22%3A%22relative%22,%22d%22%3A-1800000%7D%5D" TargetMode="External"/><Relationship Id="rId15" Type="http://schemas.openxmlformats.org/officeDocument/2006/relationships/hyperlink" Target="https://ui.honeycomb.io/octopus-deploy-93/environments/preprod/board/fCRPtQvjzfR/Resilient-Pipeline-Performance-Test-run?endTime=0&amp;filters%5B%5D=%7B%22column%22%3A%22octopus.cloud.short_id%22%2C%22op%22%3A%22%3D%22%2C%22value%22%3A%22i064522%22%7D&amp;startTime=-86400" TargetMode="External"/><Relationship Id="rId14" Type="http://schemas.openxmlformats.org/officeDocument/2006/relationships/hyperlink" Target="https://ui.honeycomb.io/octopus-deploy-93/environments/preprod/board/fCRPtQvjzfR/Resilient-Pipeline-Performance-Test-run?endTime=0&amp;filters%5B%5D=%7B%22column%22%3A%22octopus.cloud.short_id%22%2C%22op%22%3A%22%3D%22%2C%22value%22%3A%22i064517%22%7D&amp;startTime=-86400" TargetMode="External"/><Relationship Id="rId17" Type="http://schemas.openxmlformats.org/officeDocument/2006/relationships/hyperlink" Target="https://ui.honeycomb.io/octopus-deploy-93/environments/preprod/board/fCRPtQvjzfR/Resilient-Pipeline-Performance-Test-run?endTime=0&amp;filters%5B%5D=%7B%22column%22%3A%22octopus.cloud.short_id%22%2C%22op%22%3A%22%3D%22%2C%22value%22%3A%22i064520%22%7D&amp;startTime=-86400" TargetMode="External"/><Relationship Id="rId16" Type="http://schemas.openxmlformats.org/officeDocument/2006/relationships/hyperlink" Target="https://ui.honeycomb.io/octopus-deploy-93/environments/preprod/board/fCRPtQvjzfR/Resilient-Pipeline-Performance-Test-run?endTime=0&amp;filters%5B%5D=%7B%22column%22%3A%22octopus.cloud.short_id%22%2C%22op%22%3A%22%3D%22%2C%22value%22%3A%22i064519%22%7D&amp;startTime=-86400" TargetMode="External"/><Relationship Id="rId5" Type="http://schemas.openxmlformats.org/officeDocument/2006/relationships/hyperlink" Target="https://pt-orch-production-web.azurewebsites.net/test-run/115499d7-7f43-4228-8537-92afd53d7684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s://pt-orch-production-web.azurewebsites.net/test-run/39cdf383-874d-40e0-9445-6dc067150499" TargetMode="External"/><Relationship Id="rId18" Type="http://schemas.openxmlformats.org/officeDocument/2006/relationships/drawing" Target="../drawings/drawing4.xml"/><Relationship Id="rId7" Type="http://schemas.openxmlformats.org/officeDocument/2006/relationships/hyperlink" Target="https://pt-orch-production-web.azurewebsites.net/test-run/6f3ebeca-8cb6-4adc-9856-58dbd0f581bc" TargetMode="External"/><Relationship Id="rId8" Type="http://schemas.openxmlformats.org/officeDocument/2006/relationships/hyperlink" Target="https://octopuscloudpreprod.de.sumologic.com/dashboard/9Xg0IUyvJxfknLvDTKXnaiQvRhNZXHCPr0pKfqrpCZd3akWw0rXE0Apc0CdY?variables=instance%3Ai064516&amp;useDefaultTimeRange=false&amp;timeRange=%5B%7B%22t%22%3A%22relative%22,%22d%22%3A-1800000%7D%5D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ui.honeycomb.io/octopus-deploy-93/environments/preprod/board/fCRPtQvjzfR/Resilient-Pipeline-Performance-Test-run?endTime=1758085432&amp;filters%5B%5D=%7B%22column%22%3A%22octopus.cloud.short_id%22%2C%22op%22%3A%22%3D%22%2C%22value%22%3A%22i064428%22%7D&amp;startTime=1758083775" TargetMode="External"/><Relationship Id="rId22" Type="http://schemas.openxmlformats.org/officeDocument/2006/relationships/hyperlink" Target="https://ui.honeycomb.io/octopus-deploy-93/environments/preprod/board/fCRPtQvjzfR/Resilient-Pipeline-Performance-Test-run?endTime=1757981141&amp;filters%5B%5D=%7B%22column%22%3A%22octopus.cloud.short_id%22%2C%22op%22%3A%22%3D%22%2C%22value%22%3A%22i063828%22%7D&amp;startTime=1757979295" TargetMode="External"/><Relationship Id="rId21" Type="http://schemas.openxmlformats.org/officeDocument/2006/relationships/hyperlink" Target="https://ui.honeycomb.io/octopus-deploy-93/environments/preprod/board/fCRPtQvjzfR/Resilient-Pipeline-Performance-Test-run?endTime=1758085459&amp;filters%5B%5D=%7B%22column%22%3A%22octopus.cloud.short_id%22%2C%22op%22%3A%22%3D%22%2C%22value%22%3A%22i064429%22%7D&amp;startTime=1758083750" TargetMode="External"/><Relationship Id="rId24" Type="http://schemas.openxmlformats.org/officeDocument/2006/relationships/hyperlink" Target="https://ui.honeycomb.io/octopus-deploy-93/environments/preprod/board/fCRPtQvjzfR/Resilient-Pipeline-Performance-Test-run?endTime=1757999897&amp;filters%5B%5D=%7B%22column%22%3A%22octopus.cloud.short_id%22%2C%22op%22%3A%22%3D%22%2C%22value%22%3A%22i063952%22%7D&amp;startTime=1757998001" TargetMode="External"/><Relationship Id="rId23" Type="http://schemas.openxmlformats.org/officeDocument/2006/relationships/hyperlink" Target="https://ui.honeycomb.io/octopus-deploy-93/environments/preprod/board/fCRPtQvjzfR/Resilient-Pipeline-Performance-Test-run?endTime=1758506227&amp;filters%5B%5D=%7B%22column%22%3A%22octopus.cloud.short_id%22%2C%22op%22%3A%22%3D%22%2C%22value%22%3A%22i064524%22%7D&amp;startTime=1758504466" TargetMode="External"/><Relationship Id="rId1" Type="http://schemas.openxmlformats.org/officeDocument/2006/relationships/hyperlink" Target="https://pt-orch-production-web.azurewebsites.net/test-run/bac224b8-acb9-4670-a55d-a14d34f4b88d" TargetMode="External"/><Relationship Id="rId2" Type="http://schemas.openxmlformats.org/officeDocument/2006/relationships/hyperlink" Target="https://pt-orch-production-web.azurewebsites.net/test-run/380b428c-2c33-4321-9b68-1e567d023425" TargetMode="External"/><Relationship Id="rId3" Type="http://schemas.openxmlformats.org/officeDocument/2006/relationships/hyperlink" Target="https://pt-orch-production-web.azurewebsites.net/test-run/a2158a85-aa47-4cc6-aa4f-591fe9e258cf" TargetMode="External"/><Relationship Id="rId4" Type="http://schemas.openxmlformats.org/officeDocument/2006/relationships/hyperlink" Target="https://pt-orch-production-web.azurewebsites.net/test-run/2e9a0e10-3520-4088-90a3-cae1c95eef51" TargetMode="External"/><Relationship Id="rId9" Type="http://schemas.openxmlformats.org/officeDocument/2006/relationships/hyperlink" Target="https://pt-orch-production-web.azurewebsites.net/test-run/4c47746b-7cdc-4399-bd59-1fa777250485" TargetMode="External"/><Relationship Id="rId26" Type="http://schemas.openxmlformats.org/officeDocument/2006/relationships/hyperlink" Target="https://ui.honeycomb.io/octopus-deploy-93/environments/preprod/board/fCRPtQvjzfR/Resilient-Pipeline-Performance-Test-run?endTime=1758085840&amp;filters%5B%5D=%7B%22column%22%3A%22octopus.cloud.short_id%22%2C%22op%22%3A%22%3D%22%2C%22value%22%3A%22i064432%22%7D&amp;startTime=1758083885" TargetMode="External"/><Relationship Id="rId25" Type="http://schemas.openxmlformats.org/officeDocument/2006/relationships/hyperlink" Target="https://ui.honeycomb.io/octopus-deploy-93/environments/preprod/board/fCRPtQvjzfR/Resilient-Pipeline-Performance-Test-run?endTime=1758506199&amp;filters%5B%5D=%7B%22column%22%3A%22octopus.cloud.short_id%22%2C%22op%22%3A%22%3D%22%2C%22value%22%3A%22i064525%22%7D&amp;startTime=1758504567" TargetMode="External"/><Relationship Id="rId28" Type="http://schemas.openxmlformats.org/officeDocument/2006/relationships/hyperlink" Target="https://ui.honeycomb.io/octopus-deploy-93/environments/preprod/board/fCRPtQvjzfR/Resilient-Pipeline-Performance-Test-run?endTime=1758085851&amp;filters%5B%5D=%7B%22column%22%3A%22octopus.cloud.short_id%22%2C%22op%22%3A%22%3D%22%2C%22value%22%3A%22i064433%22%7D&amp;startTime=1758083879" TargetMode="External"/><Relationship Id="rId27" Type="http://schemas.openxmlformats.org/officeDocument/2006/relationships/hyperlink" Target="https://ui.honeycomb.io/octopus-deploy-93/environments/preprod/board/fCRPtQvjzfR/Resilient-Pipeline-Performance-Test-run?endTime=1758506499&amp;filters%5B%5D=%7B%22column%22%3A%22octopus.cloud.short_id%22%2C%22op%22%3A%22%3D%22%2C%22value%22%3A%22i064526%22%7D&amp;startTime=1758504724" TargetMode="External"/><Relationship Id="rId5" Type="http://schemas.openxmlformats.org/officeDocument/2006/relationships/hyperlink" Target="https://pt-orch-production-web.azurewebsites.net/test-run/4a58df6f-74d3-49c5-af62-f8e776b2de9c" TargetMode="External"/><Relationship Id="rId6" Type="http://schemas.openxmlformats.org/officeDocument/2006/relationships/hyperlink" Target="https://pt-orch-production-web.azurewebsites.net/test-run/a6570c56-0cf7-4d65-9312-8769f50ec951" TargetMode="External"/><Relationship Id="rId29" Type="http://schemas.openxmlformats.org/officeDocument/2006/relationships/drawing" Target="../drawings/drawing5.xml"/><Relationship Id="rId7" Type="http://schemas.openxmlformats.org/officeDocument/2006/relationships/hyperlink" Target="https://pt-orch-production-web.azurewebsites.net/test-run/c6f08b7e-96bb-4aab-8022-da1510c09c5d" TargetMode="External"/><Relationship Id="rId8" Type="http://schemas.openxmlformats.org/officeDocument/2006/relationships/hyperlink" Target="https://pt-orch-production-web.azurewebsites.net/test-run/ff03b544-9c0d-4634-8795-48f2c6096b67" TargetMode="External"/><Relationship Id="rId11" Type="http://schemas.openxmlformats.org/officeDocument/2006/relationships/hyperlink" Target="https://octopuscloudpreprod.de.sumologic.com/dashboard/9Xg0IUyvJxfknLvDTKXnaiQvRhNZXHCPr0pKfqrpCZd3akWw0rXE0Apc0CdY?variables=instance%3Ai063826&amp;useDefaultTimeRange=false&amp;timeRange=%5B%7B%22t%22%3A%22absolute%22%2C%22d%22%3A1757978953000%7D%2C%7B%22t%22%3A%22absolute%22%2C%22d%22%3A1757981050000%7D%5D" TargetMode="External"/><Relationship Id="rId10" Type="http://schemas.openxmlformats.org/officeDocument/2006/relationships/hyperlink" Target="https://pt-orch-production-web.azurewebsites.net/test-run/23d89b90-776a-4325-9891-1ff107ad64a4" TargetMode="External"/><Relationship Id="rId13" Type="http://schemas.openxmlformats.org/officeDocument/2006/relationships/hyperlink" Target="https://octopuscloudpreprod.de.sumologic.com/dashboard/9Xg0IUyvJxfknLvDTKXnaiQvRhNZXHCPr0pKfqrpCZd3akWw0rXE0Apc0CdY?variables=instance%3Ai063828&amp;useDefaultTimeRange=false&amp;timeRange=%5B%7B%22t%22%3A%22absolute%22%2C%22d%22%3A1757978953000%7D%2C%7B%22t%22%3A%22absolute%22%2C%22d%22%3A1757981081000%7D%5D" TargetMode="External"/><Relationship Id="rId12" Type="http://schemas.openxmlformats.org/officeDocument/2006/relationships/hyperlink" Target="https://octopuscloudpreprod.de.sumologic.com/dashboard/9Xg0IUyvJxfknLvDTKXnaiQvRhNZXHCPr0pKfqrpCZd3akWw0rXE0Apc0CdY?variables=instance%3Ai063827&amp;useDefaultTimeRange=false&amp;timeRange=%5B%7B%22t%22%3A%22absolute%22%2C%22d%22%3A1757978953000%7D%2C%7B%22t%22%3A%22absolute%22%2C%22d%22%3A1757981037000%7D%5D" TargetMode="External"/><Relationship Id="rId15" Type="http://schemas.openxmlformats.org/officeDocument/2006/relationships/hyperlink" Target="https://octopuscloudpreprod.de.sumologic.com/dashboard/9Xg0IUyvJxfknLvDTKXnaiQvRhNZXHCPr0pKfqrpCZd3akWw0rXE0Apc0CdY?variables=instance%3Ai064525&amp;useDefaultTimeRange=false&amp;timeRange=%5B%7B%22t%22%3A%22absolute%22%2C%22d%22%3A1758505405000%7D%2C%7B%22t%22%3A%22absolute%22%2C%22d%22%3A1758506147000%7D%5D" TargetMode="External"/><Relationship Id="rId14" Type="http://schemas.openxmlformats.org/officeDocument/2006/relationships/hyperlink" Target="https://octopuscloudpreprod.de.sumologic.com/dashboard/9Xg0IUyvJxfknLvDTKXnaiQvRhNZXHCPr0pKfqrpCZd3akWw0rXE0Apc0CdY?variables=instance%3Ai063952&amp;useDefaultTimeRange=false&amp;timeRange=%5B%7B%22t%22%3A%22absolute%22%2C%22d%22%3A1757997685000%7D%2C%7B%22t%22%3A%22absolute%22%2C%22d%22%3A1757999821000%7D%5D" TargetMode="External"/><Relationship Id="rId17" Type="http://schemas.openxmlformats.org/officeDocument/2006/relationships/hyperlink" Target="https://octopuscloudpreprod.de.sumologic.com/dashboard/9Xg0IUyvJxfknLvDTKXnaiQvRhNZXHCPr0pKfqrpCZd3akWw0rXE0Apc0CdY?variables=instance%3Ai064526&amp;useDefaultTimeRange=false&amp;timeRange=%5B%7B%22t%22%3A%22absolute%22%2C%22d%22%3A1758505417000%7D%2C%7B%22t%22%3A%22absolute%22%2C%22d%22%3A1758506162000%7D%5D" TargetMode="External"/><Relationship Id="rId16" Type="http://schemas.openxmlformats.org/officeDocument/2006/relationships/hyperlink" Target="https://octopuscloudpreprod.de.sumologic.com/dashboard/9Xg0IUyvJxfknLvDTKXnaiQvRhNZXHCPr0pKfqrpCZd3akWw0rXE0Apc0CdY?variables=instance%3Ai064432&amp;useDefaultTimeRange=false&amp;timeRange=%5B%7B%22t%22%3A%22absolute%22%2C%22d%22%3A1758083403000%7D%2C%7B%22t%22%3A%22absolute%22%2C%22d%22%3A1758085783000%7D%5D" TargetMode="External"/><Relationship Id="rId19" Type="http://schemas.openxmlformats.org/officeDocument/2006/relationships/hyperlink" Target="https://octopuscloudpreprod.de.sumologic.com/dashboard/9Xg0IUyvJxfknLvDTKXnaiQvRhNZXHCPr0pKfqrpCZd3akWw0rXE0Apc0CdY?variables=instance%3Ai064527&amp;useDefaultTimeRange=false&amp;timeRange=%5B%7B%22t%22%3A%22absolute%22%2C%22d%22%3A1758505621000%7D%2C%7B%22t%22%3A%22absolute%22%2C%22d%22%3A1758506395000%7D%5D" TargetMode="External"/><Relationship Id="rId18" Type="http://schemas.openxmlformats.org/officeDocument/2006/relationships/hyperlink" Target="https://octopuscloudpreprod.de.sumologic.com/dashboard/9Xg0IUyvJxfknLvDTKXnaiQvRhNZXHCPr0pKfqrpCZd3akWw0rXE0Apc0CdY?variables=instance%3Ai064433&amp;useDefaultTimeRange=false&amp;timeRange=%5B%7B%22t%22%3A%22absolute%22%2C%22d%22%3A1758083403000%7D%2C%7B%22t%22%3A%22absolute%22%2C%22d%22%3A1758085806000%7D%5D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pt-orch-production-web.azurewebsites.net/test-run/18f759a7-a9c6-4ef5-8fee-af29cd12dd2a" TargetMode="External"/><Relationship Id="rId2" Type="http://schemas.openxmlformats.org/officeDocument/2006/relationships/hyperlink" Target="https://pt-orch-production-web.azurewebsites.net/test-run/2086f7f4-6cef-4091-85c7-5b6282a48164" TargetMode="External"/><Relationship Id="rId3" Type="http://schemas.openxmlformats.org/officeDocument/2006/relationships/hyperlink" Target="https://pt-orch-production-web.azurewebsites.net/test-run/9e9b5ba1-89e2-4acd-9eec-2a44f990fb8b" TargetMode="External"/><Relationship Id="rId4" Type="http://schemas.openxmlformats.org/officeDocument/2006/relationships/hyperlink" Target="https://pt-orch-production-web.azurewebsites.net/test-run/a7ea0cf9-8c21-4249-ba7d-4b0c906b82f4" TargetMode="External"/><Relationship Id="rId9" Type="http://schemas.openxmlformats.org/officeDocument/2006/relationships/hyperlink" Target="https://pt-orch-production-web.azurewebsites.net/test-run/3aa0d931-0e41-45fd-b9b9-2d3e08eb5a49" TargetMode="External"/><Relationship Id="rId5" Type="http://schemas.openxmlformats.org/officeDocument/2006/relationships/hyperlink" Target="https://pt-orch-production-web.azurewebsites.net/test-run/b3e815e5-5534-4fd0-9c98-bf397ecc16cf" TargetMode="External"/><Relationship Id="rId6" Type="http://schemas.openxmlformats.org/officeDocument/2006/relationships/hyperlink" Target="https://pt-orch-production-web.azurewebsites.net/test-run/c7b73edb-85b9-426a-a556-96f28aa9988d" TargetMode="External"/><Relationship Id="rId7" Type="http://schemas.openxmlformats.org/officeDocument/2006/relationships/hyperlink" Target="https://pt-orch-production-web.azurewebsites.net/test-run/4d05f611-238f-4a8a-89d1-0a978bba410d" TargetMode="External"/><Relationship Id="rId8" Type="http://schemas.openxmlformats.org/officeDocument/2006/relationships/hyperlink" Target="https://pt-orch-production-web.azurewebsites.net/test-run/be36f4f6-50c1-4b70-8c5e-9cec7c656085" TargetMode="External"/><Relationship Id="rId10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pt-orch-production-web.azurewebsites.net/test-run/5c0178f7-9b0d-40f7-9522-8c164c019c84" TargetMode="External"/><Relationship Id="rId2" Type="http://schemas.openxmlformats.org/officeDocument/2006/relationships/hyperlink" Target="https://pt-orch-production-web.azurewebsites.net/test-run/6786cb64-f568-48cc-95ee-98a55bb6223e" TargetMode="External"/><Relationship Id="rId3" Type="http://schemas.openxmlformats.org/officeDocument/2006/relationships/hyperlink" Target="https://pt-orch-production-web.azurewebsites.net/test-run/679f6e5b-be9f-43c6-892a-10ac0fa91f27" TargetMode="External"/><Relationship Id="rId4" Type="http://schemas.openxmlformats.org/officeDocument/2006/relationships/hyperlink" Target="https://pt-orch-production-web.azurewebsites.net/test-run/aded718e-b127-46dc-9b05-6e3445288c0f" TargetMode="External"/><Relationship Id="rId9" Type="http://schemas.openxmlformats.org/officeDocument/2006/relationships/hyperlink" Target="https://octopuscloudpreprod.de.sumologic.com/dashboard/9Xg0IUyvJxfknLvDTKXnaiQvRhNZXHCPr0pKfqrpCZd3akWw0rXE0Apc0CdY?variables=instance%3Ai064487&amp;useDefaultTimeRange=false&amp;timeRange=%5B%7B%22t%22%3A%22absolute%22,%22d%22%3A1758492201317%7D,%7B%22t%22%3A%22absolute%22,%22d%22%3A1758494289788%7D%5D" TargetMode="External"/><Relationship Id="rId5" Type="http://schemas.openxmlformats.org/officeDocument/2006/relationships/hyperlink" Target="https://pt-orch-production-web.azurewebsites.net/test-run/1bb7d5d8-2d54-4f30-be29-31126c9288ae" TargetMode="External"/><Relationship Id="rId6" Type="http://schemas.openxmlformats.org/officeDocument/2006/relationships/hyperlink" Target="https://pt-orch-production-web.azurewebsites.net/test-run/3bc82dd1-a294-4c7e-9937-6a58dd1acf16" TargetMode="External"/><Relationship Id="rId7" Type="http://schemas.openxmlformats.org/officeDocument/2006/relationships/hyperlink" Target="https://pt-orch-production-web.azurewebsites.net/test-run/3241bc3e-2ec8-4d09-a29a-d6cc162212a5" TargetMode="External"/><Relationship Id="rId8" Type="http://schemas.openxmlformats.org/officeDocument/2006/relationships/hyperlink" Target="https://pt-orch-production-web.azurewebsites.net/test-run/9de0fe31-ab17-4847-be70-3996ddfefa95" TargetMode="External"/><Relationship Id="rId11" Type="http://schemas.openxmlformats.org/officeDocument/2006/relationships/hyperlink" Target="https://octopuscloudpreprod.de.sumologic.com/dashboard/9Xg0IUyvJxfknLvDTKXnaiQvRhNZXHCPr0pKfqrpCZd3akWw0rXE0Apc0CdY?variables=instance%3Ai064488&amp;useDefaultTimeRange=false&amp;timeRange=%5B%7B%22t%22%3A%22absolute%22%2C%22d%22%3A1758492201000%7D%2C%7B%22t%22%3A%22absolute%22%2C%22d%22%3A1758494180000%7D%5D" TargetMode="External"/><Relationship Id="rId10" Type="http://schemas.openxmlformats.org/officeDocument/2006/relationships/hyperlink" Target="https://octopuscloudpreprod.de.sumologic.com/dashboard/9Xg0IUyvJxfknLvDTKXnaiQvRhNZXHCPr0pKfqrpCZd3akWw0rXE0Apc0CdY?variables=instance%3Ai064490&amp;useDefaultTimeRange=false&amp;timeRange=%5B%7B%22t%22%3A%22absolute%22,%22d%22%3A1758492201930%7D,%7B%22t%22%3A%22absolute%22,%22d%22%3A1758494328285%7D%5D" TargetMode="External"/><Relationship Id="rId13" Type="http://schemas.openxmlformats.org/officeDocument/2006/relationships/hyperlink" Target="https://octopuscloudpreprod.de.sumologic.com/dashboard/9Xg0IUyvJxfknLvDTKXnaiQvRhNZXHCPr0pKfqrpCZd3akWw0rXE0Apc0CdY?variables=instance%3Ai064489&amp;useDefaultTimeRange=false&amp;timeRange=%5B%7B%22t%22%3A%22absolute%22,%22d%22%3A1758492201720%7D,%7B%22t%22%3A%22absolute%22,%22d%22%3A1758494445230%7D%5D" TargetMode="External"/><Relationship Id="rId12" Type="http://schemas.openxmlformats.org/officeDocument/2006/relationships/hyperlink" Target="https://octopuscloudpreprod.de.sumologic.com/dashboard/9Xg0IUyvJxfknLvDTKXnaiQvRhNZXHCPr0pKfqrpCZd3akWw0rXE0Apc0CdY?variables=instance%3Ai064492&amp;useDefaultTimeRange=false&amp;timeRange=%5B%7B%22t%22%3A%22absolute%22%2C%22d%22%3A1758492202000%7D%2C%7B%22t%22%3A%22absolute%22%2C%22d%22%3A1758494316000%7D%5D" TargetMode="External"/><Relationship Id="rId15" Type="http://schemas.openxmlformats.org/officeDocument/2006/relationships/hyperlink" Target="https://octopuscloudpreprod.de.sumologic.com/dashboard/9Xg0IUyvJxfknLvDTKXnaiQvRhNZXHCPr0pKfqrpCZd3akWw0rXE0Apc0CdY?variables=instance%3Ai064491&amp;useDefaultTimeRange=false&amp;timeRange=%5B%7B%22t%22%3A%22absolute%22%2C%22d%22%3A1758492201000%7D%2C%7B%22t%22%3A%22absolute%22%2C%22d%22%3A1758495512000%7D%5D" TargetMode="External"/><Relationship Id="rId14" Type="http://schemas.openxmlformats.org/officeDocument/2006/relationships/hyperlink" Target="https://octopuscloudpreprod.de.sumologic.com/dashboard/9Xg0IUyvJxfknLvDTKXnaiQvRhNZXHCPr0pKfqrpCZd3akWw0rXE0Apc0CdY?variables=instance%3Ai064493&amp;useDefaultTimeRange=false&amp;timeRange=%5B%7B%22t%22%3A%22absolute%22%2C%22d%22%3A1758492202000%7D%2C%7B%22t%22%3A%22absolute%22%2C%22d%22%3A1758494515000%7D%5D" TargetMode="External"/><Relationship Id="rId17" Type="http://schemas.openxmlformats.org/officeDocument/2006/relationships/drawing" Target="../drawings/drawing8.xml"/><Relationship Id="rId16" Type="http://schemas.openxmlformats.org/officeDocument/2006/relationships/hyperlink" Target="https://octopuscloudpreprod.de.sumologic.com/dashboard/9Xg0IUyvJxfknLvDTKXnaiQvRhNZXHCPr0pKfqrpCZd3akWw0rXE0Apc0CdY?variables=instance%3Ai064494&amp;useDefaultTimeRange=false&amp;timeRange=%5B%7B%22t%22%3A%22absolute%22%2C%22d%22%3A1758492202000%7D%2C%7B%22t%22%3A%22absolute%22%2C%22d%22%3A1758495456000%7D%5D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5.0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4" t="s">
        <v>4</v>
      </c>
    </row>
    <row r="5">
      <c r="A5" s="3" t="s">
        <v>5</v>
      </c>
      <c r="B5" s="4" t="s">
        <v>6</v>
      </c>
    </row>
    <row r="6">
      <c r="A6" s="3" t="s">
        <v>7</v>
      </c>
      <c r="B6" s="4">
        <v>20.0</v>
      </c>
    </row>
    <row r="7">
      <c r="A7" s="3" t="s">
        <v>8</v>
      </c>
      <c r="B7" s="4">
        <v>100.0</v>
      </c>
    </row>
    <row r="8">
      <c r="A8" s="3" t="s">
        <v>9</v>
      </c>
      <c r="B8" s="4" t="s">
        <v>10</v>
      </c>
    </row>
    <row r="9">
      <c r="A9" s="3" t="s">
        <v>11</v>
      </c>
      <c r="B9" s="3" t="s">
        <v>12</v>
      </c>
    </row>
    <row r="11">
      <c r="A11" s="5" t="s">
        <v>13</v>
      </c>
      <c r="B11" s="5"/>
      <c r="C11" s="6"/>
      <c r="D11" s="6"/>
      <c r="E11" s="6"/>
      <c r="F11" s="6"/>
      <c r="G11" s="6"/>
      <c r="H11" s="6"/>
      <c r="I11" s="6"/>
      <c r="J11" s="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" t="s">
        <v>14</v>
      </c>
    </row>
    <row r="13">
      <c r="A13" s="1" t="s">
        <v>15</v>
      </c>
      <c r="B13" s="4"/>
      <c r="C13" s="4">
        <v>2.0</v>
      </c>
      <c r="D13" s="4">
        <v>2.0</v>
      </c>
      <c r="E13" s="4">
        <v>5.0</v>
      </c>
      <c r="F13" s="4">
        <v>5.0</v>
      </c>
      <c r="G13" s="4">
        <v>10.0</v>
      </c>
      <c r="H13" s="4">
        <v>10.0</v>
      </c>
      <c r="I13" s="4">
        <v>20.0</v>
      </c>
      <c r="J13" s="4">
        <v>20.0</v>
      </c>
    </row>
    <row r="14">
      <c r="A14" s="1" t="s">
        <v>16</v>
      </c>
      <c r="B14" s="4"/>
      <c r="C14" s="4" t="s">
        <v>17</v>
      </c>
      <c r="D14" s="4" t="s">
        <v>18</v>
      </c>
      <c r="E14" s="4" t="s">
        <v>17</v>
      </c>
      <c r="F14" s="4" t="s">
        <v>18</v>
      </c>
      <c r="G14" s="4" t="s">
        <v>17</v>
      </c>
      <c r="H14" s="4" t="s">
        <v>18</v>
      </c>
      <c r="I14" s="4" t="s">
        <v>17</v>
      </c>
      <c r="J14" s="4" t="s">
        <v>18</v>
      </c>
    </row>
    <row r="15">
      <c r="A15" s="1" t="s">
        <v>19</v>
      </c>
      <c r="B15" s="4"/>
      <c r="C15" s="4" t="s">
        <v>20</v>
      </c>
      <c r="D15" s="4" t="s">
        <v>20</v>
      </c>
      <c r="E15" s="4" t="s">
        <v>20</v>
      </c>
      <c r="F15" s="4" t="s">
        <v>20</v>
      </c>
      <c r="G15" s="4" t="s">
        <v>20</v>
      </c>
      <c r="H15" s="4" t="s">
        <v>20</v>
      </c>
      <c r="I15" s="4" t="s">
        <v>20</v>
      </c>
      <c r="J15" s="4" t="s">
        <v>20</v>
      </c>
    </row>
    <row r="16">
      <c r="A16" s="1" t="s">
        <v>21</v>
      </c>
    </row>
    <row r="17">
      <c r="A17" s="1" t="s">
        <v>22</v>
      </c>
    </row>
    <row r="18">
      <c r="A18" s="1" t="s">
        <v>23</v>
      </c>
    </row>
    <row r="19">
      <c r="A19" s="1" t="s">
        <v>24</v>
      </c>
    </row>
    <row r="21">
      <c r="A21" s="8" t="s">
        <v>25</v>
      </c>
      <c r="B21" s="8" t="s">
        <v>26</v>
      </c>
      <c r="C21" s="9"/>
      <c r="D21" s="9"/>
      <c r="E21" s="9"/>
      <c r="F21" s="9"/>
      <c r="G21" s="9"/>
      <c r="H21" s="9"/>
      <c r="I21" s="9"/>
      <c r="J21" s="9"/>
    </row>
    <row r="22">
      <c r="A22" s="10" t="s">
        <v>27</v>
      </c>
      <c r="B22" s="4">
        <v>150.0</v>
      </c>
    </row>
    <row r="23">
      <c r="A23" s="10" t="s">
        <v>28</v>
      </c>
      <c r="B23" s="4">
        <v>900.0</v>
      </c>
    </row>
    <row r="24">
      <c r="A24" s="10" t="s">
        <v>29</v>
      </c>
      <c r="B24" s="4">
        <v>40.0</v>
      </c>
    </row>
    <row r="25">
      <c r="A25" s="10" t="s">
        <v>30</v>
      </c>
      <c r="B25" s="4">
        <v>40.0</v>
      </c>
    </row>
    <row r="26">
      <c r="A26" s="10" t="s">
        <v>31</v>
      </c>
      <c r="B26" s="4">
        <v>40.0</v>
      </c>
    </row>
    <row r="27">
      <c r="A27" s="11" t="s">
        <v>32</v>
      </c>
    </row>
    <row r="28">
      <c r="A28" s="11" t="s">
        <v>33</v>
      </c>
    </row>
    <row r="29">
      <c r="A29" s="11" t="s">
        <v>34</v>
      </c>
    </row>
    <row r="30">
      <c r="A30" s="12"/>
    </row>
    <row r="31">
      <c r="A31" s="8" t="s">
        <v>35</v>
      </c>
      <c r="B31" s="9"/>
      <c r="C31" s="9"/>
      <c r="D31" s="9"/>
      <c r="E31" s="9"/>
      <c r="F31" s="9"/>
      <c r="G31" s="9"/>
      <c r="H31" s="9"/>
      <c r="I31" s="9"/>
      <c r="J31" s="9"/>
    </row>
    <row r="32">
      <c r="A32" s="13" t="s">
        <v>36</v>
      </c>
      <c r="B32" s="14"/>
      <c r="C32" s="14"/>
      <c r="D32" s="14"/>
      <c r="E32" s="14"/>
      <c r="F32" s="14"/>
      <c r="G32" s="14"/>
      <c r="H32" s="14"/>
      <c r="I32" s="14"/>
      <c r="J32" s="14"/>
    </row>
    <row r="33">
      <c r="A33" s="13" t="s">
        <v>37</v>
      </c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5" t="s">
        <v>38</v>
      </c>
    </row>
    <row r="35">
      <c r="A35" s="12" t="s">
        <v>39</v>
      </c>
    </row>
    <row r="36">
      <c r="A36" s="16" t="s">
        <v>40</v>
      </c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6" t="s">
        <v>41</v>
      </c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7" t="s">
        <v>42</v>
      </c>
    </row>
    <row r="39">
      <c r="A39" s="17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5.0"/>
  </cols>
  <sheetData>
    <row r="1">
      <c r="A1" s="1" t="s">
        <v>44</v>
      </c>
      <c r="B1" s="18" t="s">
        <v>45</v>
      </c>
    </row>
    <row r="3">
      <c r="A3" s="2" t="s">
        <v>1</v>
      </c>
      <c r="B3" s="2" t="s">
        <v>2</v>
      </c>
    </row>
    <row r="4">
      <c r="A4" s="3" t="s">
        <v>3</v>
      </c>
      <c r="B4" s="4" t="s">
        <v>46</v>
      </c>
    </row>
    <row r="5">
      <c r="A5" s="3" t="s">
        <v>5</v>
      </c>
      <c r="B5" s="4" t="s">
        <v>47</v>
      </c>
    </row>
    <row r="6">
      <c r="A6" s="3" t="s">
        <v>7</v>
      </c>
      <c r="B6" s="4">
        <v>5.0</v>
      </c>
    </row>
    <row r="7">
      <c r="A7" s="4" t="s">
        <v>48</v>
      </c>
      <c r="B7" s="4">
        <v>10.0</v>
      </c>
    </row>
    <row r="8">
      <c r="A8" s="3" t="s">
        <v>9</v>
      </c>
      <c r="B8" s="4">
        <v>1.0</v>
      </c>
    </row>
    <row r="9">
      <c r="A9" s="3" t="s">
        <v>11</v>
      </c>
      <c r="B9" s="3" t="s">
        <v>12</v>
      </c>
    </row>
    <row r="11">
      <c r="A11" s="5" t="s">
        <v>13</v>
      </c>
      <c r="B11" s="5"/>
      <c r="C11" s="6"/>
      <c r="D11" s="6"/>
      <c r="E11" s="6"/>
      <c r="F11" s="6"/>
      <c r="G11" s="6"/>
      <c r="H11" s="6"/>
      <c r="I11" s="6"/>
      <c r="J11" s="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" t="s">
        <v>14</v>
      </c>
      <c r="C12" s="4" t="s">
        <v>49</v>
      </c>
      <c r="D12" s="4" t="s">
        <v>49</v>
      </c>
    </row>
    <row r="13">
      <c r="A13" s="1" t="s">
        <v>15</v>
      </c>
      <c r="B13" s="4"/>
    </row>
    <row r="14">
      <c r="A14" s="1" t="s">
        <v>16</v>
      </c>
      <c r="B14" s="4"/>
      <c r="C14" s="4" t="s">
        <v>17</v>
      </c>
      <c r="D14" s="4" t="s">
        <v>18</v>
      </c>
    </row>
    <row r="15">
      <c r="A15" s="1" t="s">
        <v>19</v>
      </c>
      <c r="B15" s="4"/>
      <c r="C15" s="4" t="s">
        <v>50</v>
      </c>
      <c r="D15" s="4" t="s">
        <v>50</v>
      </c>
    </row>
    <row r="16">
      <c r="A16" s="1" t="s">
        <v>21</v>
      </c>
      <c r="C16" s="19" t="s">
        <v>51</v>
      </c>
      <c r="D16" s="19" t="s">
        <v>52</v>
      </c>
    </row>
    <row r="17">
      <c r="A17" s="1" t="s">
        <v>22</v>
      </c>
      <c r="C17" s="20" t="s">
        <v>53</v>
      </c>
      <c r="D17" s="20" t="s">
        <v>54</v>
      </c>
    </row>
    <row r="18">
      <c r="A18" s="1" t="s">
        <v>23</v>
      </c>
      <c r="C18" s="20" t="s">
        <v>55</v>
      </c>
      <c r="D18" s="20" t="s">
        <v>56</v>
      </c>
    </row>
    <row r="19">
      <c r="A19" s="1" t="s">
        <v>24</v>
      </c>
      <c r="C19" s="20" t="s">
        <v>57</v>
      </c>
      <c r="D19" s="20" t="s">
        <v>58</v>
      </c>
    </row>
    <row r="21">
      <c r="A21" s="8" t="s">
        <v>25</v>
      </c>
      <c r="B21" s="8" t="s">
        <v>26</v>
      </c>
      <c r="C21" s="9"/>
      <c r="D21" s="9"/>
      <c r="E21" s="9"/>
      <c r="F21" s="9"/>
      <c r="G21" s="9"/>
      <c r="H21" s="9"/>
      <c r="I21" s="9"/>
      <c r="J21" s="9"/>
    </row>
    <row r="22">
      <c r="A22" s="10" t="s">
        <v>27</v>
      </c>
      <c r="B22" s="4">
        <v>30.0</v>
      </c>
      <c r="C22" s="21">
        <v>30.0</v>
      </c>
      <c r="D22" s="21">
        <v>35.0</v>
      </c>
    </row>
    <row r="23">
      <c r="A23" s="10" t="s">
        <v>28</v>
      </c>
      <c r="B23" s="4">
        <v>80.0</v>
      </c>
      <c r="C23" s="21">
        <v>74.0</v>
      </c>
      <c r="D23" s="21">
        <v>84.0</v>
      </c>
    </row>
    <row r="24">
      <c r="A24" s="10" t="s">
        <v>29</v>
      </c>
      <c r="B24" s="4">
        <v>40.0</v>
      </c>
      <c r="C24" s="21">
        <v>28.0</v>
      </c>
      <c r="D24" s="21">
        <v>34.0</v>
      </c>
    </row>
    <row r="25">
      <c r="A25" s="10" t="s">
        <v>30</v>
      </c>
      <c r="B25" s="4">
        <v>40.0</v>
      </c>
      <c r="C25" s="21">
        <v>15.0</v>
      </c>
      <c r="D25" s="21">
        <v>29.0</v>
      </c>
    </row>
    <row r="26">
      <c r="A26" s="10" t="s">
        <v>31</v>
      </c>
      <c r="B26" s="4">
        <v>40.0</v>
      </c>
      <c r="C26" s="21">
        <v>4.0</v>
      </c>
      <c r="D26" s="21">
        <v>7.0</v>
      </c>
    </row>
    <row r="27">
      <c r="A27" s="11" t="s">
        <v>59</v>
      </c>
      <c r="B27" s="4">
        <v>200.0</v>
      </c>
      <c r="C27" s="21">
        <v>178.0</v>
      </c>
      <c r="D27" s="21">
        <v>119.0</v>
      </c>
    </row>
    <row r="28">
      <c r="A28" s="11" t="s">
        <v>33</v>
      </c>
      <c r="C28" s="4" t="s">
        <v>60</v>
      </c>
      <c r="D28" s="4" t="s">
        <v>60</v>
      </c>
    </row>
    <row r="29">
      <c r="A29" s="11" t="s">
        <v>34</v>
      </c>
      <c r="D29" s="4">
        <v>0.0</v>
      </c>
    </row>
    <row r="30">
      <c r="A30" s="11" t="s">
        <v>61</v>
      </c>
      <c r="C30" s="22">
        <f t="shared" ref="C30:D30" si="1">(C22-$B22)/$B22</f>
        <v>0</v>
      </c>
      <c r="D30" s="22">
        <f t="shared" si="1"/>
        <v>0.1666666667</v>
      </c>
    </row>
    <row r="31">
      <c r="A31" s="11" t="s">
        <v>62</v>
      </c>
      <c r="C31" s="22">
        <f t="shared" ref="C31:D31" si="2">(C23-$B23)/$B23</f>
        <v>-0.075</v>
      </c>
      <c r="D31" s="22">
        <f t="shared" si="2"/>
        <v>0.05</v>
      </c>
    </row>
    <row r="32">
      <c r="A32" s="12"/>
    </row>
    <row r="33">
      <c r="A33" s="8" t="s">
        <v>35</v>
      </c>
      <c r="B33" s="9"/>
      <c r="C33" s="9"/>
      <c r="D33" s="9"/>
      <c r="E33" s="9"/>
      <c r="F33" s="9"/>
      <c r="G33" s="9"/>
      <c r="H33" s="9"/>
      <c r="I33" s="9"/>
      <c r="J33" s="9"/>
    </row>
    <row r="34">
      <c r="A34" s="13" t="s">
        <v>36</v>
      </c>
      <c r="B34" s="14"/>
      <c r="C34" s="23">
        <v>28.0</v>
      </c>
      <c r="D34" s="23">
        <v>34.0</v>
      </c>
      <c r="E34" s="14"/>
      <c r="F34" s="14"/>
      <c r="G34" s="14"/>
      <c r="H34" s="14"/>
      <c r="I34" s="14"/>
      <c r="J34" s="14"/>
    </row>
    <row r="35">
      <c r="A35" s="13" t="s">
        <v>37</v>
      </c>
      <c r="B35" s="14"/>
      <c r="C35" s="23">
        <v>15.0</v>
      </c>
      <c r="D35" s="23">
        <v>20.0</v>
      </c>
      <c r="E35" s="14"/>
      <c r="F35" s="14"/>
      <c r="G35" s="14"/>
      <c r="H35" s="14"/>
      <c r="I35" s="14"/>
      <c r="J35" s="14"/>
    </row>
    <row r="36">
      <c r="A36" s="15" t="s">
        <v>38</v>
      </c>
      <c r="C36" s="4">
        <v>15.0</v>
      </c>
      <c r="D36" s="4">
        <v>29.0</v>
      </c>
    </row>
    <row r="37">
      <c r="A37" s="12" t="s">
        <v>39</v>
      </c>
      <c r="C37" s="4">
        <v>8.0</v>
      </c>
      <c r="D37" s="4">
        <v>14.0</v>
      </c>
    </row>
    <row r="38">
      <c r="A38" s="16" t="s">
        <v>40</v>
      </c>
      <c r="B38" s="14"/>
      <c r="C38" s="23">
        <v>4.0</v>
      </c>
      <c r="D38" s="23">
        <v>7.0</v>
      </c>
      <c r="E38" s="14"/>
      <c r="F38" s="14"/>
      <c r="G38" s="14"/>
      <c r="H38" s="14"/>
      <c r="I38" s="14"/>
      <c r="J38" s="14"/>
    </row>
    <row r="39">
      <c r="A39" s="16" t="s">
        <v>41</v>
      </c>
      <c r="B39" s="14"/>
      <c r="C39" s="23">
        <v>1.0</v>
      </c>
      <c r="D39" s="23">
        <v>5.0</v>
      </c>
      <c r="E39" s="14"/>
      <c r="F39" s="14"/>
      <c r="G39" s="14"/>
      <c r="H39" s="14"/>
      <c r="I39" s="14"/>
      <c r="J39" s="14"/>
    </row>
    <row r="40">
      <c r="A40" s="17" t="s">
        <v>42</v>
      </c>
      <c r="D40" s="4">
        <v>597.0</v>
      </c>
    </row>
    <row r="41">
      <c r="A41" s="17" t="s">
        <v>43</v>
      </c>
      <c r="D41" s="4">
        <v>260.0</v>
      </c>
    </row>
  </sheetData>
  <hyperlinks>
    <hyperlink r:id="rId1" ref="C17"/>
    <hyperlink r:id="rId2" ref="D17"/>
    <hyperlink r:id="rId3" ref="C18"/>
    <hyperlink r:id="rId4" ref="D18"/>
    <hyperlink r:id="rId5" ref="C19"/>
    <hyperlink r:id="rId6" ref="D19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5.0"/>
  </cols>
  <sheetData>
    <row r="1">
      <c r="A1" s="1" t="s">
        <v>63</v>
      </c>
      <c r="B1" s="18" t="s">
        <v>45</v>
      </c>
    </row>
    <row r="3">
      <c r="A3" s="2" t="s">
        <v>1</v>
      </c>
      <c r="B3" s="2" t="s">
        <v>2</v>
      </c>
    </row>
    <row r="4">
      <c r="A4" s="3" t="s">
        <v>3</v>
      </c>
      <c r="B4" s="4" t="s">
        <v>4</v>
      </c>
    </row>
    <row r="5">
      <c r="A5" s="3" t="s">
        <v>5</v>
      </c>
      <c r="B5" s="4" t="s">
        <v>6</v>
      </c>
    </row>
    <row r="6">
      <c r="A6" s="3" t="s">
        <v>7</v>
      </c>
      <c r="B6" s="4">
        <v>20.0</v>
      </c>
    </row>
    <row r="7">
      <c r="A7" s="4" t="s">
        <v>48</v>
      </c>
      <c r="B7" s="4">
        <v>100.0</v>
      </c>
    </row>
    <row r="8">
      <c r="A8" s="3" t="s">
        <v>9</v>
      </c>
      <c r="B8" s="4">
        <v>2.0</v>
      </c>
    </row>
    <row r="9">
      <c r="A9" s="3" t="s">
        <v>11</v>
      </c>
      <c r="B9" s="3" t="s">
        <v>12</v>
      </c>
    </row>
    <row r="11">
      <c r="A11" s="5" t="s">
        <v>13</v>
      </c>
      <c r="B11" s="5"/>
      <c r="C11" s="6"/>
      <c r="D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" t="s">
        <v>14</v>
      </c>
      <c r="C12" s="4" t="s">
        <v>49</v>
      </c>
      <c r="D12" s="4" t="s">
        <v>49</v>
      </c>
    </row>
    <row r="13">
      <c r="A13" s="1" t="s">
        <v>15</v>
      </c>
      <c r="B13" s="4"/>
      <c r="C13" s="4">
        <v>2.0</v>
      </c>
      <c r="D13" s="4">
        <v>2.0</v>
      </c>
    </row>
    <row r="14">
      <c r="A14" s="1" t="s">
        <v>16</v>
      </c>
      <c r="B14" s="4"/>
      <c r="C14" s="4" t="s">
        <v>17</v>
      </c>
      <c r="D14" s="4" t="s">
        <v>18</v>
      </c>
    </row>
    <row r="15">
      <c r="A15" s="1" t="s">
        <v>19</v>
      </c>
      <c r="B15" s="4"/>
      <c r="C15" s="4" t="s">
        <v>20</v>
      </c>
      <c r="D15" s="4" t="s">
        <v>20</v>
      </c>
    </row>
    <row r="16">
      <c r="A16" s="1" t="s">
        <v>21</v>
      </c>
      <c r="C16" s="4" t="s">
        <v>64</v>
      </c>
      <c r="D16" s="4" t="s">
        <v>65</v>
      </c>
    </row>
    <row r="17">
      <c r="A17" s="1" t="s">
        <v>22</v>
      </c>
      <c r="C17" s="20" t="s">
        <v>66</v>
      </c>
      <c r="D17" s="20" t="s">
        <v>67</v>
      </c>
    </row>
    <row r="18">
      <c r="A18" s="1" t="s">
        <v>23</v>
      </c>
      <c r="C18" s="20" t="s">
        <v>68</v>
      </c>
      <c r="D18" s="20" t="s">
        <v>69</v>
      </c>
    </row>
    <row r="19">
      <c r="A19" s="1" t="s">
        <v>24</v>
      </c>
      <c r="C19" s="20" t="s">
        <v>70</v>
      </c>
      <c r="D19" s="20" t="s">
        <v>71</v>
      </c>
    </row>
    <row r="21">
      <c r="A21" s="8" t="s">
        <v>25</v>
      </c>
      <c r="B21" s="8" t="s">
        <v>26</v>
      </c>
      <c r="C21" s="9"/>
      <c r="D21" s="9"/>
    </row>
    <row r="22">
      <c r="A22" s="10" t="s">
        <v>27</v>
      </c>
      <c r="B22" s="4">
        <v>110.0</v>
      </c>
      <c r="C22" s="4">
        <v>111.0</v>
      </c>
      <c r="D22" s="4">
        <v>109.0</v>
      </c>
      <c r="F22" s="3"/>
      <c r="H22" s="3"/>
      <c r="I22" s="3"/>
      <c r="J22" s="3"/>
    </row>
    <row r="23">
      <c r="A23" s="10" t="s">
        <v>28</v>
      </c>
      <c r="B23" s="4">
        <v>600.0</v>
      </c>
      <c r="C23" s="21">
        <v>607.0</v>
      </c>
      <c r="D23" s="21">
        <v>627.0</v>
      </c>
      <c r="G23" s="24"/>
      <c r="H23" s="24"/>
      <c r="I23" s="24"/>
      <c r="J23" s="3"/>
      <c r="K23" s="24"/>
    </row>
    <row r="24">
      <c r="A24" s="10" t="s">
        <v>29</v>
      </c>
      <c r="B24" s="4">
        <v>60.0</v>
      </c>
      <c r="C24" s="21">
        <v>35.0</v>
      </c>
      <c r="D24" s="21">
        <v>60.0</v>
      </c>
      <c r="E24" s="3"/>
      <c r="F24" s="3"/>
      <c r="G24" s="3"/>
      <c r="H24" s="3"/>
      <c r="I24" s="3"/>
      <c r="J24" s="3"/>
    </row>
    <row r="25">
      <c r="A25" s="10" t="s">
        <v>30</v>
      </c>
      <c r="B25" s="4">
        <v>40.0</v>
      </c>
      <c r="C25" s="21">
        <v>10.0</v>
      </c>
      <c r="D25" s="21">
        <v>23.0</v>
      </c>
    </row>
    <row r="26">
      <c r="A26" s="10" t="s">
        <v>31</v>
      </c>
      <c r="B26" s="4">
        <v>40.0</v>
      </c>
      <c r="C26" s="21">
        <v>5.0</v>
      </c>
      <c r="D26" s="21">
        <v>14.0</v>
      </c>
    </row>
    <row r="27">
      <c r="A27" s="11" t="s">
        <v>32</v>
      </c>
      <c r="B27" s="4">
        <v>400.0</v>
      </c>
      <c r="C27" s="21">
        <v>208.0</v>
      </c>
      <c r="D27" s="21">
        <v>309.0</v>
      </c>
    </row>
    <row r="28">
      <c r="A28" s="11" t="s">
        <v>33</v>
      </c>
      <c r="C28" s="25" t="s">
        <v>60</v>
      </c>
      <c r="D28" s="25" t="s">
        <v>60</v>
      </c>
      <c r="E28" s="3"/>
      <c r="F28" s="3"/>
      <c r="G28" s="3"/>
      <c r="H28" s="3"/>
      <c r="I28" s="3"/>
      <c r="J28" s="3"/>
    </row>
    <row r="29">
      <c r="A29" s="11" t="s">
        <v>34</v>
      </c>
      <c r="D29" s="4">
        <v>0.0</v>
      </c>
    </row>
    <row r="30">
      <c r="A30" s="11" t="s">
        <v>61</v>
      </c>
      <c r="C30" s="22">
        <f t="shared" ref="C30:D30" si="1">(C22-$B22)/$B22</f>
        <v>0.009090909091</v>
      </c>
      <c r="D30" s="22">
        <f t="shared" si="1"/>
        <v>-0.009090909091</v>
      </c>
    </row>
    <row r="31">
      <c r="A31" s="11" t="s">
        <v>62</v>
      </c>
      <c r="C31" s="22">
        <f t="shared" ref="C31:D31" si="2">(C23-$B23)/$B23</f>
        <v>0.01166666667</v>
      </c>
      <c r="D31" s="22">
        <f t="shared" si="2"/>
        <v>0.045</v>
      </c>
    </row>
    <row r="32">
      <c r="A32" s="12"/>
    </row>
    <row r="33">
      <c r="A33" s="8" t="s">
        <v>35</v>
      </c>
      <c r="B33" s="9"/>
      <c r="C33" s="9"/>
      <c r="D33" s="9"/>
    </row>
    <row r="34">
      <c r="A34" s="13" t="s">
        <v>36</v>
      </c>
      <c r="B34" s="14"/>
      <c r="C34" s="14"/>
      <c r="D34" s="14"/>
    </row>
    <row r="35">
      <c r="A35" s="13" t="s">
        <v>37</v>
      </c>
      <c r="B35" s="14"/>
      <c r="C35" s="14"/>
      <c r="D35" s="14"/>
    </row>
    <row r="36">
      <c r="A36" s="15" t="s">
        <v>38</v>
      </c>
    </row>
    <row r="37">
      <c r="A37" s="12" t="s">
        <v>39</v>
      </c>
    </row>
    <row r="38">
      <c r="A38" s="16" t="s">
        <v>40</v>
      </c>
      <c r="B38" s="14"/>
      <c r="C38" s="14"/>
      <c r="D38" s="14"/>
    </row>
    <row r="39">
      <c r="A39" s="16" t="s">
        <v>41</v>
      </c>
      <c r="B39" s="14"/>
      <c r="C39" s="14"/>
      <c r="D39" s="14"/>
    </row>
    <row r="40">
      <c r="A40" s="17" t="s">
        <v>42</v>
      </c>
      <c r="D40" s="4">
        <v>476.0</v>
      </c>
    </row>
    <row r="41">
      <c r="A41" s="17" t="s">
        <v>43</v>
      </c>
      <c r="D41" s="4">
        <v>388.0</v>
      </c>
    </row>
    <row r="48">
      <c r="C48" s="4">
        <v>2.0</v>
      </c>
      <c r="D48" s="4">
        <v>2.0</v>
      </c>
    </row>
    <row r="49">
      <c r="C49" s="4" t="s">
        <v>72</v>
      </c>
      <c r="D49" s="4" t="s">
        <v>72</v>
      </c>
      <c r="E49" s="4" t="s">
        <v>73</v>
      </c>
    </row>
    <row r="50">
      <c r="A50" s="10" t="s">
        <v>27</v>
      </c>
      <c r="C50" s="4">
        <v>110.0</v>
      </c>
      <c r="D50" s="4">
        <v>105.0</v>
      </c>
      <c r="E50" s="26">
        <f t="shared" ref="E50:E55" si="3">C50*1.2</f>
        <v>132</v>
      </c>
    </row>
    <row r="51">
      <c r="A51" s="10" t="s">
        <v>28</v>
      </c>
      <c r="C51" s="4">
        <v>594.0</v>
      </c>
      <c r="D51" s="4">
        <v>614.0</v>
      </c>
      <c r="E51" s="26">
        <f t="shared" si="3"/>
        <v>712.8</v>
      </c>
    </row>
    <row r="52">
      <c r="A52" s="10" t="s">
        <v>29</v>
      </c>
      <c r="C52" s="4">
        <v>33.0</v>
      </c>
      <c r="D52" s="27">
        <v>58.0</v>
      </c>
      <c r="E52" s="26">
        <f t="shared" si="3"/>
        <v>39.6</v>
      </c>
    </row>
    <row r="53">
      <c r="A53" s="10" t="s">
        <v>30</v>
      </c>
      <c r="C53" s="4">
        <v>17.0</v>
      </c>
      <c r="D53" s="4">
        <v>26.0</v>
      </c>
      <c r="E53" s="26">
        <f t="shared" si="3"/>
        <v>20.4</v>
      </c>
    </row>
    <row r="54">
      <c r="A54" s="10" t="s">
        <v>31</v>
      </c>
      <c r="C54" s="4">
        <v>19.0</v>
      </c>
      <c r="D54" s="4">
        <v>19.0</v>
      </c>
      <c r="E54" s="26">
        <f t="shared" si="3"/>
        <v>22.8</v>
      </c>
    </row>
    <row r="55">
      <c r="A55" s="11" t="s">
        <v>32</v>
      </c>
      <c r="C55" s="4">
        <v>115.0</v>
      </c>
      <c r="D55" s="4">
        <v>118.0</v>
      </c>
      <c r="E55" s="26">
        <f t="shared" si="3"/>
        <v>138</v>
      </c>
    </row>
    <row r="56">
      <c r="A56" s="11" t="s">
        <v>33</v>
      </c>
    </row>
    <row r="60">
      <c r="C60" s="4">
        <v>2.0</v>
      </c>
      <c r="D60" s="4">
        <v>2.0</v>
      </c>
    </row>
    <row r="61">
      <c r="C61" s="4" t="s">
        <v>74</v>
      </c>
      <c r="D61" s="4" t="s">
        <v>74</v>
      </c>
    </row>
    <row r="62">
      <c r="A62" s="10" t="s">
        <v>27</v>
      </c>
      <c r="C62" s="4">
        <v>110.0</v>
      </c>
      <c r="D62" s="4">
        <v>101.0</v>
      </c>
      <c r="E62" s="26">
        <f t="shared" ref="E62:E67" si="4">C62*1.2</f>
        <v>132</v>
      </c>
    </row>
    <row r="63">
      <c r="A63" s="10" t="s">
        <v>28</v>
      </c>
      <c r="C63" s="4">
        <v>579.0</v>
      </c>
      <c r="D63" s="4">
        <v>570.0</v>
      </c>
      <c r="E63" s="26">
        <f t="shared" si="4"/>
        <v>694.8</v>
      </c>
    </row>
    <row r="64">
      <c r="A64" s="10" t="s">
        <v>29</v>
      </c>
      <c r="C64" s="4">
        <v>22.0</v>
      </c>
      <c r="D64" s="4">
        <v>39.0</v>
      </c>
      <c r="E64" s="26">
        <f t="shared" si="4"/>
        <v>26.4</v>
      </c>
    </row>
    <row r="65">
      <c r="A65" s="10" t="s">
        <v>30</v>
      </c>
      <c r="C65" s="4">
        <v>11.0</v>
      </c>
      <c r="D65" s="4">
        <v>16.0</v>
      </c>
      <c r="E65" s="26">
        <f t="shared" si="4"/>
        <v>13.2</v>
      </c>
    </row>
    <row r="66">
      <c r="A66" s="10" t="s">
        <v>31</v>
      </c>
      <c r="C66" s="4">
        <v>7.0</v>
      </c>
      <c r="D66" s="4">
        <v>11.0</v>
      </c>
      <c r="E66" s="26">
        <f t="shared" si="4"/>
        <v>8.4</v>
      </c>
    </row>
    <row r="67">
      <c r="A67" s="11" t="s">
        <v>32</v>
      </c>
      <c r="C67" s="4">
        <v>69.0</v>
      </c>
      <c r="D67" s="4">
        <v>64.0</v>
      </c>
      <c r="E67" s="26">
        <f t="shared" si="4"/>
        <v>82.8</v>
      </c>
    </row>
  </sheetData>
  <hyperlinks>
    <hyperlink r:id="rId1" ref="C17"/>
    <hyperlink r:id="rId2" ref="D17"/>
    <hyperlink r:id="rId3" ref="C18"/>
    <hyperlink r:id="rId4" ref="D18"/>
    <hyperlink r:id="rId5" ref="C19"/>
    <hyperlink r:id="rId6" ref="D19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5.0"/>
    <col customWidth="1" min="5" max="5" width="14.75"/>
  </cols>
  <sheetData>
    <row r="1">
      <c r="A1" s="1" t="s">
        <v>75</v>
      </c>
      <c r="B1" s="18" t="s">
        <v>45</v>
      </c>
    </row>
    <row r="3">
      <c r="A3" s="2" t="s">
        <v>1</v>
      </c>
      <c r="B3" s="2" t="s">
        <v>2</v>
      </c>
      <c r="E3" s="5" t="s">
        <v>76</v>
      </c>
    </row>
    <row r="4">
      <c r="A4" s="3" t="s">
        <v>3</v>
      </c>
      <c r="B4" s="4" t="s">
        <v>10</v>
      </c>
      <c r="E4" s="18">
        <v>1.15</v>
      </c>
    </row>
    <row r="5">
      <c r="A5" s="3" t="s">
        <v>5</v>
      </c>
      <c r="B5" s="4" t="s">
        <v>6</v>
      </c>
      <c r="E5" s="28">
        <v>1.5</v>
      </c>
    </row>
    <row r="6">
      <c r="A6" s="3" t="s">
        <v>7</v>
      </c>
      <c r="B6" s="4">
        <v>20.0</v>
      </c>
    </row>
    <row r="7">
      <c r="A7" s="4" t="s">
        <v>48</v>
      </c>
      <c r="B7" s="4">
        <v>100.0</v>
      </c>
    </row>
    <row r="8">
      <c r="A8" s="3" t="s">
        <v>9</v>
      </c>
      <c r="B8" s="4">
        <v>10.0</v>
      </c>
    </row>
    <row r="9">
      <c r="A9" s="3" t="s">
        <v>11</v>
      </c>
      <c r="B9" s="3" t="s">
        <v>12</v>
      </c>
    </row>
    <row r="11">
      <c r="A11" s="5" t="s">
        <v>13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" t="s">
        <v>14</v>
      </c>
      <c r="C12" s="4" t="s">
        <v>49</v>
      </c>
      <c r="D12" s="4" t="s">
        <v>49</v>
      </c>
      <c r="E12" s="4" t="s">
        <v>49</v>
      </c>
      <c r="F12" s="4" t="s">
        <v>49</v>
      </c>
      <c r="G12" s="4" t="s">
        <v>49</v>
      </c>
      <c r="H12" s="4" t="s">
        <v>77</v>
      </c>
    </row>
    <row r="13">
      <c r="A13" s="1" t="s">
        <v>78</v>
      </c>
      <c r="C13" s="4">
        <v>10.0</v>
      </c>
      <c r="D13" s="4">
        <v>10.0</v>
      </c>
      <c r="E13" s="4">
        <v>10.0</v>
      </c>
      <c r="F13" s="4">
        <v>10.0</v>
      </c>
      <c r="G13" s="4">
        <v>10.0</v>
      </c>
      <c r="H13" s="4">
        <v>15.0</v>
      </c>
    </row>
    <row r="14">
      <c r="A14" s="1" t="s">
        <v>16</v>
      </c>
      <c r="C14" s="4" t="s">
        <v>17</v>
      </c>
      <c r="D14" s="4" t="s">
        <v>18</v>
      </c>
      <c r="E14" s="4" t="s">
        <v>18</v>
      </c>
      <c r="F14" s="4" t="s">
        <v>18</v>
      </c>
      <c r="G14" s="4" t="s">
        <v>18</v>
      </c>
      <c r="H14" s="4" t="s">
        <v>18</v>
      </c>
    </row>
    <row r="15">
      <c r="A15" s="1" t="s">
        <v>79</v>
      </c>
      <c r="C15" s="4">
        <v>2000.0</v>
      </c>
      <c r="D15" s="4">
        <v>2000.0</v>
      </c>
      <c r="E15" s="4">
        <v>2500.0</v>
      </c>
      <c r="F15" s="4">
        <v>3000.0</v>
      </c>
      <c r="G15" s="4">
        <v>4000.0</v>
      </c>
      <c r="H15" s="4">
        <v>4000.0</v>
      </c>
    </row>
    <row r="16">
      <c r="A16" s="1" t="s">
        <v>21</v>
      </c>
      <c r="C16" s="19" t="s">
        <v>80</v>
      </c>
      <c r="D16" s="19" t="s">
        <v>81</v>
      </c>
      <c r="E16" s="19" t="s">
        <v>82</v>
      </c>
      <c r="F16" s="19" t="s">
        <v>83</v>
      </c>
      <c r="G16" s="19" t="s">
        <v>84</v>
      </c>
    </row>
    <row r="17">
      <c r="A17" s="1" t="s">
        <v>22</v>
      </c>
      <c r="C17" s="20" t="s">
        <v>85</v>
      </c>
      <c r="D17" s="20" t="s">
        <v>86</v>
      </c>
      <c r="E17" s="20" t="s">
        <v>87</v>
      </c>
      <c r="F17" s="20" t="s">
        <v>88</v>
      </c>
      <c r="G17" s="29" t="s">
        <v>89</v>
      </c>
      <c r="H17" s="29" t="s">
        <v>90</v>
      </c>
    </row>
    <row r="18">
      <c r="A18" s="1" t="s">
        <v>23</v>
      </c>
      <c r="C18" s="20" t="s">
        <v>91</v>
      </c>
      <c r="D18" s="20" t="s">
        <v>92</v>
      </c>
      <c r="E18" s="20" t="s">
        <v>93</v>
      </c>
      <c r="F18" s="20" t="s">
        <v>94</v>
      </c>
      <c r="G18" s="20" t="s">
        <v>95</v>
      </c>
    </row>
    <row r="19">
      <c r="A19" s="1" t="s">
        <v>24</v>
      </c>
      <c r="C19" s="20" t="s">
        <v>96</v>
      </c>
      <c r="D19" s="20" t="s">
        <v>97</v>
      </c>
      <c r="E19" s="20" t="s">
        <v>98</v>
      </c>
      <c r="F19" s="20" t="s">
        <v>99</v>
      </c>
      <c r="G19" s="20" t="s">
        <v>100</v>
      </c>
    </row>
    <row r="21">
      <c r="A21" s="8" t="s">
        <v>25</v>
      </c>
      <c r="B21" s="8" t="s">
        <v>26</v>
      </c>
      <c r="C21" s="8" t="s">
        <v>101</v>
      </c>
      <c r="D21" s="9"/>
      <c r="E21" s="9"/>
      <c r="F21" s="9"/>
      <c r="G21" s="9"/>
      <c r="H21" s="30"/>
    </row>
    <row r="22">
      <c r="A22" s="10" t="s">
        <v>27</v>
      </c>
      <c r="B22" s="4">
        <v>140.0</v>
      </c>
      <c r="C22" s="21">
        <v>128.0</v>
      </c>
      <c r="D22" s="31">
        <v>246.0</v>
      </c>
      <c r="E22" s="31">
        <v>193.0</v>
      </c>
      <c r="F22" s="31">
        <v>196.0</v>
      </c>
      <c r="G22" s="32">
        <v>163.0</v>
      </c>
      <c r="H22" s="31">
        <v>270.0</v>
      </c>
    </row>
    <row r="23">
      <c r="A23" s="10" t="s">
        <v>28</v>
      </c>
      <c r="B23" s="4">
        <v>750.0</v>
      </c>
      <c r="C23" s="21">
        <v>708.0</v>
      </c>
      <c r="D23" s="31">
        <v>1308.0</v>
      </c>
      <c r="E23" s="31">
        <v>1033.0</v>
      </c>
      <c r="F23" s="31">
        <v>1044.0</v>
      </c>
      <c r="G23" s="32">
        <v>871.0</v>
      </c>
      <c r="H23" s="28">
        <v>1433.0</v>
      </c>
    </row>
    <row r="24">
      <c r="A24" s="10" t="s">
        <v>29</v>
      </c>
      <c r="B24" s="4">
        <v>75.0</v>
      </c>
      <c r="C24" s="28">
        <v>79.0</v>
      </c>
      <c r="D24" s="21">
        <v>76.0</v>
      </c>
      <c r="E24" s="21">
        <v>77.0</v>
      </c>
      <c r="F24" s="21">
        <v>65.0</v>
      </c>
      <c r="G24" s="21">
        <v>61.0</v>
      </c>
      <c r="H24" s="32">
        <v>76.0</v>
      </c>
    </row>
    <row r="25">
      <c r="A25" s="10" t="s">
        <v>30</v>
      </c>
      <c r="B25" s="4">
        <v>40.0</v>
      </c>
      <c r="C25" s="21">
        <v>8.0</v>
      </c>
      <c r="D25" s="21">
        <v>20.0</v>
      </c>
      <c r="E25" s="21">
        <v>23.0</v>
      </c>
      <c r="F25" s="21">
        <v>30.0</v>
      </c>
      <c r="G25" s="21">
        <v>32.0</v>
      </c>
      <c r="H25" s="32">
        <v>55.0</v>
      </c>
    </row>
    <row r="26">
      <c r="A26" s="10" t="s">
        <v>31</v>
      </c>
      <c r="B26" s="4">
        <v>40.0</v>
      </c>
      <c r="C26" s="21">
        <v>2.0</v>
      </c>
      <c r="D26" s="21">
        <v>18.0</v>
      </c>
      <c r="E26" s="21">
        <v>21.0</v>
      </c>
      <c r="F26" s="21">
        <v>24.0</v>
      </c>
      <c r="G26" s="21">
        <v>28.0</v>
      </c>
      <c r="H26" s="33">
        <v>35.0</v>
      </c>
    </row>
    <row r="27">
      <c r="A27" s="11" t="s">
        <v>32</v>
      </c>
      <c r="B27" s="4">
        <v>200.0</v>
      </c>
      <c r="C27" s="28">
        <v>597.0</v>
      </c>
      <c r="D27" s="21">
        <v>134.0</v>
      </c>
      <c r="E27" s="21">
        <v>140.0</v>
      </c>
      <c r="F27" s="21">
        <v>107.0</v>
      </c>
      <c r="G27" s="21">
        <v>95.0</v>
      </c>
      <c r="H27" s="33">
        <v>94.0</v>
      </c>
    </row>
    <row r="28">
      <c r="A28" s="11" t="s">
        <v>33</v>
      </c>
      <c r="C28" s="34" t="s">
        <v>102</v>
      </c>
      <c r="D28" s="34" t="s">
        <v>102</v>
      </c>
      <c r="E28" s="34" t="s">
        <v>102</v>
      </c>
      <c r="F28" s="34" t="s">
        <v>102</v>
      </c>
      <c r="G28" s="34" t="s">
        <v>60</v>
      </c>
      <c r="H28" s="34" t="s">
        <v>102</v>
      </c>
    </row>
    <row r="29">
      <c r="A29" s="11" t="s">
        <v>34</v>
      </c>
      <c r="F29" s="35">
        <v>0.001</v>
      </c>
      <c r="G29" s="35">
        <v>0.002</v>
      </c>
      <c r="H29" s="35">
        <v>0.002</v>
      </c>
    </row>
    <row r="30">
      <c r="A30" s="11" t="s">
        <v>61</v>
      </c>
      <c r="C30" s="22">
        <f t="shared" ref="C30:H30" si="1">(C22-$B22)/$B22</f>
        <v>-0.08571428571</v>
      </c>
      <c r="D30" s="22">
        <f t="shared" si="1"/>
        <v>0.7571428571</v>
      </c>
      <c r="E30" s="22">
        <f t="shared" si="1"/>
        <v>0.3785714286</v>
      </c>
      <c r="F30" s="22">
        <f t="shared" si="1"/>
        <v>0.4</v>
      </c>
      <c r="G30" s="22">
        <f t="shared" si="1"/>
        <v>0.1642857143</v>
      </c>
      <c r="H30" s="22">
        <f t="shared" si="1"/>
        <v>0.9285714286</v>
      </c>
    </row>
    <row r="31">
      <c r="A31" s="11" t="s">
        <v>62</v>
      </c>
      <c r="C31" s="22">
        <f t="shared" ref="C31:H31" si="2">(C23-$B23)/$B23</f>
        <v>-0.056</v>
      </c>
      <c r="D31" s="22">
        <f t="shared" si="2"/>
        <v>0.744</v>
      </c>
      <c r="E31" s="22">
        <f t="shared" si="2"/>
        <v>0.3773333333</v>
      </c>
      <c r="F31" s="22">
        <f t="shared" si="2"/>
        <v>0.392</v>
      </c>
      <c r="G31" s="22">
        <f t="shared" si="2"/>
        <v>0.1613333333</v>
      </c>
      <c r="H31" s="22">
        <f t="shared" si="2"/>
        <v>0.9106666667</v>
      </c>
    </row>
    <row r="32">
      <c r="A32" s="12"/>
      <c r="H32" s="36"/>
    </row>
    <row r="33">
      <c r="A33" s="8" t="s">
        <v>35</v>
      </c>
      <c r="B33" s="9"/>
      <c r="C33" s="9"/>
      <c r="D33" s="9"/>
      <c r="E33" s="9"/>
      <c r="F33" s="9"/>
      <c r="G33" s="9"/>
      <c r="H33" s="30"/>
    </row>
    <row r="34">
      <c r="A34" s="13" t="s">
        <v>36</v>
      </c>
      <c r="B34" s="23">
        <v>102.0</v>
      </c>
      <c r="C34" s="23"/>
      <c r="D34" s="23">
        <v>86.0</v>
      </c>
      <c r="E34" s="23">
        <v>90.0</v>
      </c>
      <c r="F34" s="23">
        <v>74.0</v>
      </c>
      <c r="G34" s="23">
        <v>65.0</v>
      </c>
      <c r="H34" s="37"/>
    </row>
    <row r="35">
      <c r="A35" s="13" t="s">
        <v>37</v>
      </c>
      <c r="B35" s="23">
        <v>77.0</v>
      </c>
      <c r="C35" s="23"/>
      <c r="D35" s="23">
        <v>76.0</v>
      </c>
      <c r="E35" s="23">
        <v>77.0</v>
      </c>
      <c r="F35" s="23">
        <v>65.0</v>
      </c>
      <c r="G35" s="23">
        <v>61.0</v>
      </c>
      <c r="H35" s="37"/>
    </row>
    <row r="36">
      <c r="A36" s="15" t="s">
        <v>38</v>
      </c>
      <c r="B36" s="4">
        <v>30.0</v>
      </c>
      <c r="D36" s="4">
        <v>35.0</v>
      </c>
      <c r="E36" s="4">
        <v>41.0</v>
      </c>
      <c r="F36" s="4">
        <v>41.0</v>
      </c>
      <c r="G36" s="4">
        <v>44.0</v>
      </c>
      <c r="H36" s="38"/>
    </row>
    <row r="37">
      <c r="A37" s="12" t="s">
        <v>39</v>
      </c>
      <c r="B37" s="4">
        <v>9.0</v>
      </c>
      <c r="D37" s="4">
        <v>20.0</v>
      </c>
      <c r="E37" s="4">
        <v>23.0</v>
      </c>
      <c r="F37" s="4">
        <v>30.0</v>
      </c>
      <c r="G37" s="4">
        <v>32.0</v>
      </c>
      <c r="H37" s="38"/>
    </row>
    <row r="38">
      <c r="A38" s="16" t="s">
        <v>40</v>
      </c>
      <c r="B38" s="23">
        <v>12.0</v>
      </c>
      <c r="C38" s="23"/>
      <c r="D38" s="23">
        <v>34.0</v>
      </c>
      <c r="E38" s="23">
        <v>44.0</v>
      </c>
      <c r="F38" s="23">
        <v>42.0</v>
      </c>
      <c r="G38" s="23">
        <v>47.0</v>
      </c>
      <c r="H38" s="37"/>
    </row>
    <row r="39">
      <c r="A39" s="16" t="s">
        <v>41</v>
      </c>
      <c r="B39" s="23">
        <v>2.0</v>
      </c>
      <c r="C39" s="23"/>
      <c r="D39" s="23">
        <v>20.0</v>
      </c>
      <c r="E39" s="23">
        <v>21.0</v>
      </c>
      <c r="F39" s="23">
        <v>24.0</v>
      </c>
      <c r="G39" s="23">
        <v>28.0</v>
      </c>
      <c r="H39" s="37"/>
    </row>
    <row r="40">
      <c r="A40" s="17" t="s">
        <v>42</v>
      </c>
      <c r="D40" s="4">
        <v>189734.0</v>
      </c>
      <c r="E40" s="4">
        <v>5260.0</v>
      </c>
      <c r="F40" s="4">
        <v>5549.0</v>
      </c>
      <c r="G40" s="4">
        <v>3905.0</v>
      </c>
      <c r="H40" s="38"/>
    </row>
    <row r="41">
      <c r="A41" s="17" t="s">
        <v>43</v>
      </c>
      <c r="D41" s="4">
        <v>1214.0</v>
      </c>
      <c r="E41" s="4">
        <v>1098.0</v>
      </c>
      <c r="F41" s="4">
        <v>1062.0</v>
      </c>
      <c r="G41" s="4">
        <v>917.0</v>
      </c>
      <c r="H41" s="38"/>
    </row>
  </sheetData>
  <conditionalFormatting sqref="D22:N27">
    <cfRule type="cellIs" dxfId="0" priority="1" operator="lessThanOrEqual">
      <formula>#REF!</formula>
    </cfRule>
  </conditionalFormatting>
  <conditionalFormatting sqref="D22:G27 H22:H25">
    <cfRule type="cellIs" dxfId="1" priority="2" operator="lessThanOrEqual">
      <formula>#REF!*$E$5</formula>
    </cfRule>
  </conditionalFormatting>
  <conditionalFormatting sqref="D22:G27 H22:H25">
    <cfRule type="cellIs" dxfId="2" priority="3" operator="greaterThan">
      <formula>#REF!*$E$5</formula>
    </cfRule>
  </conditionalFormatting>
  <hyperlinks>
    <hyperlink r:id="rId2" ref="C17"/>
    <hyperlink r:id="rId3" ref="D17"/>
    <hyperlink r:id="rId4" ref="E17"/>
    <hyperlink r:id="rId5" ref="F17"/>
    <hyperlink r:id="rId6" ref="G17"/>
    <hyperlink r:id="rId7" ref="H17"/>
    <hyperlink r:id="rId8" ref="C18"/>
    <hyperlink r:id="rId9" ref="D18"/>
    <hyperlink r:id="rId10" ref="E18"/>
    <hyperlink r:id="rId11" ref="F18"/>
    <hyperlink r:id="rId12" ref="G18"/>
    <hyperlink r:id="rId13" ref="C19"/>
    <hyperlink r:id="rId14" ref="D19"/>
    <hyperlink r:id="rId15" ref="E19"/>
    <hyperlink r:id="rId16" ref="F19"/>
    <hyperlink r:id="rId17" ref="G19"/>
  </hyperlinks>
  <drawing r:id="rId18"/>
  <legacy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5.0"/>
  </cols>
  <sheetData>
    <row r="1">
      <c r="A1" s="1" t="s">
        <v>103</v>
      </c>
      <c r="B1" s="18" t="s">
        <v>45</v>
      </c>
    </row>
    <row r="3">
      <c r="A3" s="2" t="s">
        <v>1</v>
      </c>
      <c r="B3" s="2" t="s">
        <v>2</v>
      </c>
    </row>
    <row r="4">
      <c r="A4" s="3" t="s">
        <v>3</v>
      </c>
      <c r="B4" s="4" t="s">
        <v>4</v>
      </c>
    </row>
    <row r="5">
      <c r="A5" s="3" t="s">
        <v>5</v>
      </c>
      <c r="B5" s="4" t="s">
        <v>104</v>
      </c>
    </row>
    <row r="6">
      <c r="A6" s="3" t="s">
        <v>7</v>
      </c>
      <c r="B6" s="4">
        <v>20.0</v>
      </c>
    </row>
    <row r="7">
      <c r="A7" s="4" t="s">
        <v>48</v>
      </c>
      <c r="B7" s="4">
        <v>100.0</v>
      </c>
    </row>
    <row r="8">
      <c r="A8" s="3" t="s">
        <v>9</v>
      </c>
      <c r="B8" s="4">
        <v>5.0</v>
      </c>
    </row>
    <row r="9">
      <c r="A9" s="3" t="s">
        <v>11</v>
      </c>
      <c r="B9" s="3" t="s">
        <v>12</v>
      </c>
    </row>
    <row r="11">
      <c r="A11" s="5" t="s">
        <v>13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39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1" t="s">
        <v>14</v>
      </c>
    </row>
    <row r="13">
      <c r="A13" s="1" t="s">
        <v>105</v>
      </c>
      <c r="B13" s="4"/>
      <c r="C13" s="4">
        <v>2.0</v>
      </c>
      <c r="D13" s="4">
        <v>2.0</v>
      </c>
      <c r="E13" s="4">
        <v>5.0</v>
      </c>
      <c r="F13" s="4">
        <v>5.0</v>
      </c>
      <c r="G13" s="4">
        <v>5.0</v>
      </c>
      <c r="H13" s="4">
        <v>5.0</v>
      </c>
      <c r="I13" s="4">
        <v>8.0</v>
      </c>
      <c r="J13" s="4">
        <v>8.0</v>
      </c>
      <c r="K13" s="4">
        <v>8.0</v>
      </c>
      <c r="L13" s="4">
        <v>8.0</v>
      </c>
    </row>
    <row r="14">
      <c r="A14" s="1" t="s">
        <v>16</v>
      </c>
      <c r="B14" s="4"/>
      <c r="C14" s="4" t="s">
        <v>17</v>
      </c>
      <c r="D14" s="4" t="s">
        <v>18</v>
      </c>
      <c r="E14" s="4" t="s">
        <v>17</v>
      </c>
      <c r="F14" s="4" t="s">
        <v>17</v>
      </c>
      <c r="G14" s="4" t="s">
        <v>18</v>
      </c>
      <c r="H14" s="4" t="s">
        <v>18</v>
      </c>
      <c r="I14" s="4" t="s">
        <v>17</v>
      </c>
      <c r="J14" s="4" t="s">
        <v>17</v>
      </c>
      <c r="K14" s="4" t="s">
        <v>18</v>
      </c>
      <c r="L14" s="4" t="s">
        <v>18</v>
      </c>
    </row>
    <row r="15">
      <c r="A15" s="1" t="s">
        <v>19</v>
      </c>
      <c r="B15" s="4"/>
      <c r="C15" s="4" t="s">
        <v>20</v>
      </c>
      <c r="D15" s="4" t="s">
        <v>20</v>
      </c>
      <c r="E15" s="4" t="s">
        <v>20</v>
      </c>
      <c r="F15" s="4" t="s">
        <v>106</v>
      </c>
      <c r="G15" s="4" t="s">
        <v>20</v>
      </c>
      <c r="H15" s="4" t="s">
        <v>106</v>
      </c>
      <c r="I15" s="4" t="s">
        <v>20</v>
      </c>
      <c r="J15" s="4" t="s">
        <v>106</v>
      </c>
      <c r="K15" s="4" t="s">
        <v>20</v>
      </c>
      <c r="L15" s="4" t="s">
        <v>106</v>
      </c>
    </row>
    <row r="16">
      <c r="A16" s="1" t="s">
        <v>21</v>
      </c>
      <c r="C16" s="4" t="s">
        <v>107</v>
      </c>
      <c r="D16" s="4" t="s">
        <v>108</v>
      </c>
      <c r="E16" s="4" t="s">
        <v>109</v>
      </c>
      <c r="F16" s="4" t="s">
        <v>110</v>
      </c>
      <c r="G16" s="4" t="s">
        <v>111</v>
      </c>
      <c r="H16" s="4" t="s">
        <v>112</v>
      </c>
      <c r="I16" s="4" t="s">
        <v>113</v>
      </c>
      <c r="J16" s="4" t="s">
        <v>114</v>
      </c>
      <c r="K16" s="4" t="s">
        <v>115</v>
      </c>
      <c r="L16" s="4" t="s">
        <v>116</v>
      </c>
    </row>
    <row r="17">
      <c r="A17" s="1" t="s">
        <v>22</v>
      </c>
      <c r="C17" s="20" t="s">
        <v>117</v>
      </c>
      <c r="D17" s="20" t="s">
        <v>118</v>
      </c>
      <c r="E17" s="20" t="s">
        <v>119</v>
      </c>
      <c r="F17" s="20" t="s">
        <v>120</v>
      </c>
      <c r="G17" s="20" t="s">
        <v>121</v>
      </c>
      <c r="H17" s="20" t="s">
        <v>122</v>
      </c>
      <c r="I17" s="20" t="s">
        <v>123</v>
      </c>
      <c r="J17" s="20" t="s">
        <v>124</v>
      </c>
      <c r="K17" s="20" t="s">
        <v>125</v>
      </c>
      <c r="L17" s="20" t="s">
        <v>126</v>
      </c>
    </row>
    <row r="18">
      <c r="A18" s="1" t="s">
        <v>23</v>
      </c>
      <c r="C18" s="20" t="s">
        <v>127</v>
      </c>
      <c r="D18" s="20" t="s">
        <v>128</v>
      </c>
      <c r="E18" s="20" t="s">
        <v>129</v>
      </c>
      <c r="F18" s="4"/>
      <c r="G18" s="20" t="s">
        <v>130</v>
      </c>
      <c r="H18" s="20" t="s">
        <v>131</v>
      </c>
      <c r="I18" s="20" t="s">
        <v>132</v>
      </c>
      <c r="J18" s="20" t="s">
        <v>133</v>
      </c>
      <c r="K18" s="20" t="s">
        <v>134</v>
      </c>
      <c r="L18" s="20" t="s">
        <v>135</v>
      </c>
    </row>
    <row r="19">
      <c r="A19" s="1" t="s">
        <v>24</v>
      </c>
      <c r="C19" s="20" t="s">
        <v>136</v>
      </c>
      <c r="D19" s="20" t="s">
        <v>137</v>
      </c>
      <c r="E19" s="20" t="s">
        <v>138</v>
      </c>
      <c r="F19" s="20" t="s">
        <v>139</v>
      </c>
      <c r="G19" s="20" t="s">
        <v>140</v>
      </c>
      <c r="H19" s="20" t="s">
        <v>141</v>
      </c>
      <c r="I19" s="20" t="s">
        <v>142</v>
      </c>
      <c r="J19" s="20" t="s">
        <v>143</v>
      </c>
      <c r="K19" s="20" t="s">
        <v>144</v>
      </c>
    </row>
    <row r="21">
      <c r="A21" s="8" t="s">
        <v>25</v>
      </c>
      <c r="B21" s="8" t="s">
        <v>26</v>
      </c>
      <c r="C21" s="9"/>
      <c r="D21" s="9"/>
      <c r="E21" s="9"/>
      <c r="F21" s="9"/>
      <c r="G21" s="9"/>
      <c r="H21" s="9"/>
      <c r="I21" s="9"/>
      <c r="J21" s="9"/>
      <c r="K21" s="9"/>
      <c r="L21" s="40"/>
    </row>
    <row r="22">
      <c r="A22" s="10" t="s">
        <v>27</v>
      </c>
      <c r="B22" s="4">
        <v>155.0</v>
      </c>
      <c r="C22" s="21">
        <v>143.0</v>
      </c>
      <c r="D22" s="21">
        <v>151.0</v>
      </c>
      <c r="E22" s="21">
        <v>134.0</v>
      </c>
      <c r="F22" s="21">
        <v>144.0</v>
      </c>
      <c r="G22" s="21">
        <v>136.0</v>
      </c>
      <c r="H22" s="21">
        <v>151.0</v>
      </c>
      <c r="I22" s="21">
        <v>135.0</v>
      </c>
      <c r="J22" s="21">
        <v>147.0</v>
      </c>
      <c r="K22" s="21">
        <v>141.0</v>
      </c>
      <c r="L22" s="21">
        <v>154.0</v>
      </c>
    </row>
    <row r="23">
      <c r="A23" s="10" t="s">
        <v>28</v>
      </c>
      <c r="B23" s="4">
        <v>750.0</v>
      </c>
      <c r="C23" s="21">
        <v>710.0</v>
      </c>
      <c r="D23" s="21">
        <v>750.0</v>
      </c>
      <c r="E23" s="21">
        <v>723.0</v>
      </c>
      <c r="F23" s="21">
        <v>751.0</v>
      </c>
      <c r="G23" s="31">
        <v>784.0</v>
      </c>
      <c r="H23" s="21">
        <v>826.0</v>
      </c>
      <c r="I23" s="21">
        <v>733.0</v>
      </c>
      <c r="J23" s="21">
        <v>760.0</v>
      </c>
      <c r="K23" s="31">
        <v>815.0</v>
      </c>
      <c r="L23" s="21">
        <v>868.0</v>
      </c>
    </row>
    <row r="24">
      <c r="A24" s="10" t="s">
        <v>29</v>
      </c>
      <c r="B24" s="4">
        <v>60.0</v>
      </c>
      <c r="C24" s="21">
        <v>22.0</v>
      </c>
      <c r="D24" s="21">
        <v>50.0</v>
      </c>
      <c r="E24" s="21">
        <v>27.0</v>
      </c>
      <c r="F24" s="21">
        <v>18.0</v>
      </c>
      <c r="G24" s="28">
        <v>83.0</v>
      </c>
      <c r="H24" s="21">
        <v>49.0</v>
      </c>
      <c r="I24" s="21">
        <v>33.0</v>
      </c>
      <c r="J24" s="21">
        <v>23.0</v>
      </c>
      <c r="K24" s="31">
        <v>97.0</v>
      </c>
      <c r="L24" s="41">
        <v>65.0</v>
      </c>
    </row>
    <row r="25">
      <c r="A25" s="10" t="s">
        <v>30</v>
      </c>
      <c r="B25" s="4">
        <v>60.0</v>
      </c>
      <c r="C25" s="21">
        <v>15.0</v>
      </c>
      <c r="D25" s="21">
        <v>23.0</v>
      </c>
      <c r="E25" s="21">
        <v>12.0</v>
      </c>
      <c r="F25" s="21">
        <v>28.0</v>
      </c>
      <c r="G25" s="21">
        <v>34.0</v>
      </c>
      <c r="H25" s="21">
        <v>44.0</v>
      </c>
      <c r="I25" s="21">
        <v>11.0</v>
      </c>
      <c r="J25" s="21">
        <v>31.0</v>
      </c>
      <c r="K25" s="21">
        <v>37.0</v>
      </c>
      <c r="L25" s="41">
        <v>65.0</v>
      </c>
    </row>
    <row r="26">
      <c r="A26" s="10" t="s">
        <v>31</v>
      </c>
      <c r="B26" s="4">
        <v>40.0</v>
      </c>
      <c r="C26" s="21">
        <v>5.0</v>
      </c>
      <c r="D26" s="21">
        <v>13.0</v>
      </c>
      <c r="E26" s="21">
        <v>6.0</v>
      </c>
      <c r="F26" s="21">
        <v>11.0</v>
      </c>
      <c r="G26" s="21">
        <v>17.0</v>
      </c>
      <c r="H26" s="21">
        <v>22.0</v>
      </c>
      <c r="I26" s="21">
        <v>7.0</v>
      </c>
      <c r="J26" s="21">
        <v>20.0</v>
      </c>
      <c r="K26" s="21">
        <v>27.0</v>
      </c>
      <c r="L26" s="21">
        <v>29.0</v>
      </c>
    </row>
    <row r="27">
      <c r="A27" s="11" t="s">
        <v>32</v>
      </c>
      <c r="B27" s="4">
        <v>200.0</v>
      </c>
      <c r="C27" s="21">
        <v>136.0</v>
      </c>
      <c r="D27" s="21">
        <v>130.0</v>
      </c>
      <c r="E27" s="21">
        <v>183.0</v>
      </c>
      <c r="F27" s="21">
        <v>115.0</v>
      </c>
      <c r="G27" s="21">
        <v>171.0</v>
      </c>
      <c r="H27" s="21">
        <v>84.0</v>
      </c>
      <c r="I27" s="21">
        <v>201.0</v>
      </c>
      <c r="J27" s="21">
        <v>129.0</v>
      </c>
      <c r="K27" s="21">
        <v>212.0</v>
      </c>
      <c r="L27" s="21">
        <v>86.0</v>
      </c>
    </row>
    <row r="28">
      <c r="A28" s="11" t="s">
        <v>33</v>
      </c>
      <c r="C28" s="25" t="s">
        <v>60</v>
      </c>
      <c r="D28" s="25" t="s">
        <v>60</v>
      </c>
      <c r="E28" s="25" t="s">
        <v>60</v>
      </c>
      <c r="F28" s="25" t="s">
        <v>60</v>
      </c>
      <c r="G28" s="25" t="s">
        <v>102</v>
      </c>
      <c r="H28" s="25" t="s">
        <v>60</v>
      </c>
      <c r="I28" s="25" t="s">
        <v>60</v>
      </c>
      <c r="J28" s="25" t="s">
        <v>60</v>
      </c>
      <c r="K28" s="25" t="s">
        <v>102</v>
      </c>
      <c r="L28" s="25" t="s">
        <v>145</v>
      </c>
    </row>
    <row r="29">
      <c r="A29" s="11" t="s">
        <v>34</v>
      </c>
      <c r="H29" s="42">
        <v>0.006</v>
      </c>
      <c r="I29" s="4">
        <v>0.0</v>
      </c>
      <c r="L29" s="42">
        <v>0.006</v>
      </c>
    </row>
    <row r="30">
      <c r="A30" s="11" t="s">
        <v>61</v>
      </c>
      <c r="C30" s="22">
        <f t="shared" ref="C30:L30" si="1">(C22-$B22)/$B22</f>
        <v>-0.07741935484</v>
      </c>
      <c r="D30" s="22">
        <f t="shared" si="1"/>
        <v>-0.02580645161</v>
      </c>
      <c r="E30" s="22">
        <f t="shared" si="1"/>
        <v>-0.135483871</v>
      </c>
      <c r="F30" s="22">
        <f t="shared" si="1"/>
        <v>-0.07096774194</v>
      </c>
      <c r="G30" s="22">
        <f t="shared" si="1"/>
        <v>-0.1225806452</v>
      </c>
      <c r="H30" s="22">
        <f t="shared" si="1"/>
        <v>-0.02580645161</v>
      </c>
      <c r="I30" s="22">
        <f t="shared" si="1"/>
        <v>-0.1290322581</v>
      </c>
      <c r="J30" s="22">
        <f t="shared" si="1"/>
        <v>-0.05161290323</v>
      </c>
      <c r="K30" s="22">
        <f t="shared" si="1"/>
        <v>-0.09032258065</v>
      </c>
      <c r="L30" s="22">
        <f t="shared" si="1"/>
        <v>-0.006451612903</v>
      </c>
    </row>
    <row r="31">
      <c r="A31" s="11" t="s">
        <v>62</v>
      </c>
      <c r="C31" s="22">
        <f t="shared" ref="C31:L31" si="2">(C23-$B23)/$B23</f>
        <v>-0.05333333333</v>
      </c>
      <c r="D31" s="22">
        <f t="shared" si="2"/>
        <v>0</v>
      </c>
      <c r="E31" s="22">
        <f t="shared" si="2"/>
        <v>-0.036</v>
      </c>
      <c r="F31" s="22">
        <f t="shared" si="2"/>
        <v>0.001333333333</v>
      </c>
      <c r="G31" s="22">
        <f t="shared" si="2"/>
        <v>0.04533333333</v>
      </c>
      <c r="H31" s="22">
        <f t="shared" si="2"/>
        <v>0.1013333333</v>
      </c>
      <c r="I31" s="22">
        <f t="shared" si="2"/>
        <v>-0.02266666667</v>
      </c>
      <c r="J31" s="22">
        <f t="shared" si="2"/>
        <v>0.01333333333</v>
      </c>
      <c r="K31" s="22">
        <f t="shared" si="2"/>
        <v>0.08666666667</v>
      </c>
      <c r="L31" s="22">
        <f t="shared" si="2"/>
        <v>0.1573333333</v>
      </c>
    </row>
    <row r="32">
      <c r="A32" s="12"/>
    </row>
    <row r="33">
      <c r="A33" s="8" t="s">
        <v>35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40"/>
    </row>
    <row r="34">
      <c r="A34" s="13" t="s">
        <v>36</v>
      </c>
      <c r="B34" s="14"/>
      <c r="C34" s="23">
        <v>22.0</v>
      </c>
      <c r="D34" s="23">
        <v>50.0</v>
      </c>
      <c r="E34" s="23">
        <v>27.0</v>
      </c>
      <c r="F34" s="23">
        <v>18.0</v>
      </c>
      <c r="G34" s="23">
        <v>83.0</v>
      </c>
      <c r="H34" s="23">
        <v>49.0</v>
      </c>
      <c r="I34" s="23">
        <v>33.0</v>
      </c>
      <c r="J34" s="23">
        <v>23.0</v>
      </c>
      <c r="K34" s="23">
        <v>97.0</v>
      </c>
      <c r="L34" s="23">
        <v>65.0</v>
      </c>
    </row>
    <row r="35">
      <c r="A35" s="13" t="s">
        <v>37</v>
      </c>
      <c r="B35" s="14"/>
      <c r="C35" s="23">
        <v>17.0</v>
      </c>
      <c r="D35" s="23">
        <v>45.0</v>
      </c>
      <c r="E35" s="23">
        <v>26.0</v>
      </c>
      <c r="F35" s="23">
        <v>16.0</v>
      </c>
      <c r="G35" s="23">
        <v>80.0</v>
      </c>
      <c r="H35" s="23">
        <v>46.0</v>
      </c>
      <c r="I35" s="23">
        <v>31.0</v>
      </c>
      <c r="J35" s="23">
        <v>17.0</v>
      </c>
      <c r="K35" s="23">
        <v>92.0</v>
      </c>
      <c r="L35" s="23">
        <v>63.0</v>
      </c>
    </row>
    <row r="36">
      <c r="A36" s="15" t="s">
        <v>38</v>
      </c>
      <c r="C36" s="4">
        <v>15.0</v>
      </c>
      <c r="D36" s="4">
        <v>23.0</v>
      </c>
      <c r="E36" s="4">
        <v>12.0</v>
      </c>
      <c r="F36" s="4">
        <v>28.0</v>
      </c>
      <c r="G36" s="4">
        <v>34.0</v>
      </c>
      <c r="H36" s="4">
        <v>44.0</v>
      </c>
      <c r="I36" s="4">
        <v>11.0</v>
      </c>
      <c r="J36" s="4">
        <v>31.0</v>
      </c>
      <c r="K36" s="4">
        <v>37.0</v>
      </c>
      <c r="L36" s="4">
        <v>65.0</v>
      </c>
    </row>
    <row r="37">
      <c r="A37" s="12" t="s">
        <v>39</v>
      </c>
      <c r="C37" s="4">
        <v>3.0</v>
      </c>
      <c r="D37" s="4">
        <v>12.0</v>
      </c>
      <c r="E37" s="4">
        <v>3.0</v>
      </c>
      <c r="F37" s="4">
        <v>4.0</v>
      </c>
      <c r="G37" s="4">
        <v>23.0</v>
      </c>
      <c r="H37" s="4">
        <v>25.0</v>
      </c>
      <c r="I37" s="4">
        <v>3.0</v>
      </c>
      <c r="J37" s="4">
        <v>3.0</v>
      </c>
      <c r="K37" s="4">
        <v>29.0</v>
      </c>
      <c r="L37" s="4">
        <v>40.0</v>
      </c>
    </row>
    <row r="38">
      <c r="A38" s="16" t="s">
        <v>40</v>
      </c>
      <c r="B38" s="14"/>
      <c r="C38" s="23">
        <v>5.0</v>
      </c>
      <c r="D38" s="23">
        <v>13.0</v>
      </c>
      <c r="E38" s="23">
        <v>6.0</v>
      </c>
      <c r="F38" s="23">
        <v>11.0</v>
      </c>
      <c r="G38" s="23">
        <v>17.0</v>
      </c>
      <c r="H38" s="23">
        <v>22.0</v>
      </c>
      <c r="I38" s="23">
        <v>7.0</v>
      </c>
      <c r="J38" s="23">
        <v>20.0</v>
      </c>
      <c r="K38" s="23">
        <v>27.0</v>
      </c>
      <c r="L38" s="23">
        <v>29.0</v>
      </c>
    </row>
    <row r="39">
      <c r="A39" s="16" t="s">
        <v>41</v>
      </c>
      <c r="B39" s="14"/>
      <c r="C39" s="23">
        <v>0.7</v>
      </c>
      <c r="D39" s="23">
        <v>6.0</v>
      </c>
      <c r="E39" s="23">
        <v>1.0</v>
      </c>
      <c r="F39" s="23">
        <v>1.0</v>
      </c>
      <c r="G39" s="23">
        <v>12.0</v>
      </c>
      <c r="H39" s="23">
        <v>12.0</v>
      </c>
      <c r="I39" s="23">
        <v>1.0</v>
      </c>
      <c r="J39" s="23">
        <v>1.0</v>
      </c>
      <c r="K39" s="23">
        <v>14.0</v>
      </c>
      <c r="L39" s="23">
        <v>18.0</v>
      </c>
    </row>
    <row r="40">
      <c r="A40" s="17" t="s">
        <v>42</v>
      </c>
      <c r="D40" s="4">
        <v>105.0</v>
      </c>
      <c r="F40" s="4"/>
      <c r="G40" s="4">
        <v>474.0</v>
      </c>
      <c r="H40" s="4">
        <v>190.0</v>
      </c>
      <c r="J40" s="4"/>
      <c r="K40" s="4">
        <v>1694.0</v>
      </c>
      <c r="L40" s="4">
        <v>519.0</v>
      </c>
    </row>
    <row r="41">
      <c r="A41" s="17" t="s">
        <v>43</v>
      </c>
      <c r="D41" s="4">
        <v>176.0</v>
      </c>
      <c r="F41" s="4"/>
      <c r="G41" s="4">
        <v>470.0</v>
      </c>
      <c r="H41" s="4">
        <v>283.0</v>
      </c>
      <c r="J41" s="4"/>
      <c r="K41" s="4">
        <v>1476.0</v>
      </c>
      <c r="L41" s="4">
        <v>548.0</v>
      </c>
    </row>
  </sheetData>
  <hyperlinks>
    <hyperlink r:id="rId1" ref="C17"/>
    <hyperlink r:id="rId2" ref="D17"/>
    <hyperlink r:id="rId3" ref="E17"/>
    <hyperlink r:id="rId4" ref="F17"/>
    <hyperlink r:id="rId5" ref="G17"/>
    <hyperlink r:id="rId6" ref="H17"/>
    <hyperlink r:id="rId7" ref="I17"/>
    <hyperlink r:id="rId8" ref="J17"/>
    <hyperlink r:id="rId9" ref="K17"/>
    <hyperlink r:id="rId10" ref="L17"/>
    <hyperlink r:id="rId11" ref="C18"/>
    <hyperlink r:id="rId12" ref="D18"/>
    <hyperlink r:id="rId13" ref="E18"/>
    <hyperlink r:id="rId14" ref="G18"/>
    <hyperlink r:id="rId15" ref="H18"/>
    <hyperlink r:id="rId16" ref="I18"/>
    <hyperlink r:id="rId17" ref="J18"/>
    <hyperlink r:id="rId18" ref="K18"/>
    <hyperlink r:id="rId19" ref="L18"/>
    <hyperlink r:id="rId20" ref="C19"/>
    <hyperlink r:id="rId21" ref="D19"/>
    <hyperlink r:id="rId22" ref="E19"/>
    <hyperlink r:id="rId23" ref="F19"/>
    <hyperlink r:id="rId24" ref="G19"/>
    <hyperlink r:id="rId25" ref="H19"/>
    <hyperlink r:id="rId26" ref="I19"/>
    <hyperlink r:id="rId27" ref="J19"/>
    <hyperlink r:id="rId28" ref="K19"/>
  </hyperlinks>
  <drawing r:id="rId2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3.38"/>
  </cols>
  <sheetData>
    <row r="1">
      <c r="A1" s="17" t="s">
        <v>146</v>
      </c>
      <c r="B1" s="32" t="s">
        <v>147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3" t="s">
        <v>1</v>
      </c>
      <c r="B3" s="43" t="s">
        <v>2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6" t="s">
        <v>3</v>
      </c>
      <c r="B4" s="44" t="s">
        <v>148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6" t="s">
        <v>5</v>
      </c>
      <c r="B5" s="44" t="s">
        <v>149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 t="s">
        <v>7</v>
      </c>
      <c r="B6" s="44" t="s">
        <v>150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 t="s">
        <v>8</v>
      </c>
      <c r="B7" s="44" t="s">
        <v>151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 t="s">
        <v>9</v>
      </c>
      <c r="B8" s="44" t="s">
        <v>148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 t="s">
        <v>11</v>
      </c>
      <c r="B9" s="44" t="s">
        <v>152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43" t="s">
        <v>13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46" t="s">
        <v>14</v>
      </c>
      <c r="B12" s="36" t="s">
        <v>49</v>
      </c>
      <c r="C12" s="36" t="s">
        <v>153</v>
      </c>
      <c r="D12" s="36" t="s">
        <v>153</v>
      </c>
      <c r="E12" s="36" t="s">
        <v>153</v>
      </c>
      <c r="F12" s="36" t="s">
        <v>153</v>
      </c>
      <c r="G12" s="36" t="s">
        <v>153</v>
      </c>
      <c r="H12" s="36" t="s">
        <v>153</v>
      </c>
      <c r="I12" s="36" t="s">
        <v>153</v>
      </c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46" t="s">
        <v>154</v>
      </c>
      <c r="B13" s="36"/>
      <c r="C13" s="47">
        <v>40.0</v>
      </c>
      <c r="D13" s="47">
        <v>40.0</v>
      </c>
      <c r="E13" s="47">
        <v>40.0</v>
      </c>
      <c r="F13" s="47">
        <v>80.0</v>
      </c>
      <c r="G13" s="47">
        <v>80.0</v>
      </c>
      <c r="H13" s="47">
        <v>160.0</v>
      </c>
      <c r="I13" s="47">
        <v>320.0</v>
      </c>
      <c r="J13" s="47">
        <v>40.0</v>
      </c>
      <c r="K13" s="47">
        <v>160.0</v>
      </c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46" t="s">
        <v>155</v>
      </c>
      <c r="B14" s="36"/>
      <c r="C14" s="47">
        <v>1.0</v>
      </c>
      <c r="D14" s="47">
        <v>2.0</v>
      </c>
      <c r="E14" s="47">
        <v>5.0</v>
      </c>
      <c r="F14" s="47">
        <v>1.0</v>
      </c>
      <c r="G14" s="47">
        <v>2.0</v>
      </c>
      <c r="H14" s="47">
        <v>1.0</v>
      </c>
      <c r="I14" s="47">
        <v>1.0</v>
      </c>
      <c r="J14" s="47">
        <v>10.0</v>
      </c>
      <c r="K14" s="47">
        <v>2.0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6" t="s">
        <v>156</v>
      </c>
      <c r="B15" s="36"/>
      <c r="C15" s="38">
        <v>2.5</v>
      </c>
      <c r="D15" s="38">
        <v>2.5</v>
      </c>
      <c r="E15" s="38">
        <v>2.5</v>
      </c>
      <c r="F15" s="38">
        <v>4.0</v>
      </c>
      <c r="G15" s="38">
        <v>4.0</v>
      </c>
      <c r="H15" s="38">
        <v>7.0</v>
      </c>
      <c r="I15" s="38">
        <v>14.0</v>
      </c>
      <c r="J15" s="38">
        <v>2.5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46" t="s">
        <v>157</v>
      </c>
      <c r="B16" s="36"/>
      <c r="C16" s="48"/>
      <c r="D16" s="48"/>
      <c r="E16" s="49">
        <v>4.0</v>
      </c>
      <c r="F16" s="48"/>
      <c r="G16" s="48"/>
      <c r="H16" s="48"/>
      <c r="I16" s="48"/>
      <c r="J16" s="49">
        <v>8.0</v>
      </c>
      <c r="K16" s="49">
        <v>14.0</v>
      </c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46" t="s">
        <v>16</v>
      </c>
      <c r="B17" s="36"/>
      <c r="C17" s="36" t="s">
        <v>18</v>
      </c>
      <c r="D17" s="36" t="s">
        <v>18</v>
      </c>
      <c r="E17" s="36" t="s">
        <v>18</v>
      </c>
      <c r="F17" s="36" t="s">
        <v>18</v>
      </c>
      <c r="G17" s="36" t="s">
        <v>18</v>
      </c>
      <c r="H17" s="36" t="s">
        <v>18</v>
      </c>
      <c r="I17" s="36" t="s">
        <v>18</v>
      </c>
      <c r="J17" s="36" t="s">
        <v>18</v>
      </c>
      <c r="K17" s="36" t="s">
        <v>18</v>
      </c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46" t="s">
        <v>158</v>
      </c>
      <c r="B18" s="36"/>
      <c r="C18" s="36" t="s">
        <v>159</v>
      </c>
      <c r="D18" s="36" t="s">
        <v>159</v>
      </c>
      <c r="E18" s="36" t="s">
        <v>159</v>
      </c>
      <c r="F18" s="36" t="s">
        <v>159</v>
      </c>
      <c r="G18" s="36" t="s">
        <v>159</v>
      </c>
      <c r="H18" s="36" t="s">
        <v>159</v>
      </c>
      <c r="I18" s="36" t="s">
        <v>159</v>
      </c>
      <c r="J18" s="36" t="s">
        <v>159</v>
      </c>
      <c r="K18" s="36" t="s">
        <v>159</v>
      </c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46" t="s">
        <v>21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6" t="s">
        <v>22</v>
      </c>
      <c r="B20" s="36"/>
      <c r="C20" s="50" t="s">
        <v>160</v>
      </c>
      <c r="D20" s="50" t="s">
        <v>161</v>
      </c>
      <c r="E20" s="50" t="s">
        <v>162</v>
      </c>
      <c r="F20" s="50" t="s">
        <v>163</v>
      </c>
      <c r="G20" s="50" t="s">
        <v>164</v>
      </c>
      <c r="H20" s="50" t="s">
        <v>165</v>
      </c>
      <c r="I20" s="50" t="s">
        <v>166</v>
      </c>
      <c r="J20" s="50" t="s">
        <v>167</v>
      </c>
      <c r="K20" s="50" t="s">
        <v>168</v>
      </c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46" t="s">
        <v>23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46" t="s">
        <v>24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51" t="s">
        <v>25</v>
      </c>
      <c r="B24" s="51" t="s">
        <v>26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15" t="s">
        <v>27</v>
      </c>
      <c r="B25" s="4">
        <v>1000.0</v>
      </c>
      <c r="C25" s="52">
        <v>963.0</v>
      </c>
      <c r="D25" s="52">
        <v>985.0</v>
      </c>
      <c r="E25" s="52">
        <v>1012.0</v>
      </c>
      <c r="F25" s="52">
        <v>973.0</v>
      </c>
      <c r="G25" s="52">
        <v>997.0</v>
      </c>
      <c r="H25" s="52">
        <v>984.0</v>
      </c>
      <c r="I25" s="52">
        <v>1048.0</v>
      </c>
      <c r="J25" s="53" t="s">
        <v>169</v>
      </c>
      <c r="K25" s="52">
        <v>1065.0</v>
      </c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15" t="s">
        <v>28</v>
      </c>
      <c r="B26" s="4">
        <v>2020.0</v>
      </c>
      <c r="C26" s="52">
        <v>1971.0</v>
      </c>
      <c r="D26" s="52">
        <v>2039.0</v>
      </c>
      <c r="E26" s="52">
        <v>2068.0</v>
      </c>
      <c r="F26" s="52">
        <v>2003.0</v>
      </c>
      <c r="G26" s="52">
        <v>2071.0</v>
      </c>
      <c r="H26" s="52">
        <v>2073.0</v>
      </c>
      <c r="I26" s="54">
        <v>2303.0</v>
      </c>
      <c r="J26" s="53" t="s">
        <v>169</v>
      </c>
      <c r="K26" s="52">
        <v>2212.0</v>
      </c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15" t="s">
        <v>29</v>
      </c>
      <c r="B27" s="55">
        <v>40.0</v>
      </c>
      <c r="C27" s="52">
        <v>28.0</v>
      </c>
      <c r="D27" s="52">
        <v>45.0</v>
      </c>
      <c r="E27" s="54">
        <v>60.0</v>
      </c>
      <c r="F27" s="52">
        <v>40.0</v>
      </c>
      <c r="G27" s="54">
        <v>60.0</v>
      </c>
      <c r="H27" s="52">
        <v>50.0</v>
      </c>
      <c r="I27" s="52">
        <v>40.0</v>
      </c>
      <c r="J27" s="53" t="s">
        <v>169</v>
      </c>
      <c r="K27" s="52">
        <v>40.0</v>
      </c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15" t="s">
        <v>30</v>
      </c>
      <c r="B28" s="55">
        <v>40.0</v>
      </c>
      <c r="C28" s="52">
        <v>13.0</v>
      </c>
      <c r="D28" s="52">
        <v>22.0</v>
      </c>
      <c r="E28" s="54">
        <v>60.0</v>
      </c>
      <c r="F28" s="52">
        <v>20.0</v>
      </c>
      <c r="G28" s="52">
        <v>25.0</v>
      </c>
      <c r="H28" s="52">
        <v>40.0</v>
      </c>
      <c r="I28" s="52">
        <v>20.0</v>
      </c>
      <c r="J28" s="53" t="s">
        <v>169</v>
      </c>
      <c r="K28" s="52">
        <v>35.0</v>
      </c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15" t="s">
        <v>31</v>
      </c>
      <c r="B29" s="55">
        <v>40.0</v>
      </c>
      <c r="C29" s="52">
        <v>5.0</v>
      </c>
      <c r="D29" s="52">
        <v>6.0</v>
      </c>
      <c r="E29" s="52">
        <v>30.0</v>
      </c>
      <c r="F29" s="52">
        <v>10.0</v>
      </c>
      <c r="G29" s="52">
        <v>13.0</v>
      </c>
      <c r="H29" s="52">
        <v>14.0</v>
      </c>
      <c r="I29" s="52">
        <v>13.0</v>
      </c>
      <c r="J29" s="53" t="s">
        <v>169</v>
      </c>
      <c r="K29" s="52">
        <v>25.0</v>
      </c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12" t="s">
        <v>32</v>
      </c>
      <c r="B30" s="55">
        <v>200.0</v>
      </c>
      <c r="C30" s="25" t="s">
        <v>60</v>
      </c>
      <c r="D30" s="25" t="s">
        <v>60</v>
      </c>
      <c r="E30" s="25" t="s">
        <v>60</v>
      </c>
      <c r="F30" s="25" t="s">
        <v>60</v>
      </c>
      <c r="G30" s="25" t="s">
        <v>60</v>
      </c>
      <c r="H30" s="25" t="s">
        <v>60</v>
      </c>
      <c r="I30" s="25" t="s">
        <v>145</v>
      </c>
      <c r="J30" s="56" t="s">
        <v>102</v>
      </c>
      <c r="K30" s="25" t="s">
        <v>60</v>
      </c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12" t="s">
        <v>33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12" t="s">
        <v>34</v>
      </c>
      <c r="B32" s="36"/>
      <c r="C32" s="36"/>
      <c r="D32" s="36"/>
      <c r="E32" s="57">
        <v>0.001</v>
      </c>
      <c r="F32" s="36"/>
      <c r="G32" s="36"/>
      <c r="H32" s="36"/>
      <c r="I32" s="36"/>
      <c r="J32" s="36"/>
      <c r="K32" s="38">
        <v>0.1</v>
      </c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11" t="s">
        <v>61</v>
      </c>
      <c r="C33" s="22">
        <f t="shared" ref="C33:I33" si="1">(C25-$B25)/$B25</f>
        <v>-0.037</v>
      </c>
      <c r="D33" s="22">
        <f t="shared" si="1"/>
        <v>-0.015</v>
      </c>
      <c r="E33" s="22">
        <f t="shared" si="1"/>
        <v>0.012</v>
      </c>
      <c r="F33" s="22">
        <f t="shared" si="1"/>
        <v>-0.027</v>
      </c>
      <c r="G33" s="22">
        <f t="shared" si="1"/>
        <v>-0.003</v>
      </c>
      <c r="H33" s="22">
        <f t="shared" si="1"/>
        <v>-0.016</v>
      </c>
      <c r="I33" s="22">
        <f t="shared" si="1"/>
        <v>0.048</v>
      </c>
      <c r="J33" s="22"/>
      <c r="K33" s="22">
        <f t="shared" ref="K33:K34" si="3">(K25-$B25)/$B25</f>
        <v>0.065</v>
      </c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11" t="s">
        <v>62</v>
      </c>
      <c r="C34" s="22">
        <f t="shared" ref="C34:I34" si="2">(C26-$B26)/$B26</f>
        <v>-0.02425742574</v>
      </c>
      <c r="D34" s="22">
        <f t="shared" si="2"/>
        <v>0.009405940594</v>
      </c>
      <c r="E34" s="22">
        <f t="shared" si="2"/>
        <v>0.02376237624</v>
      </c>
      <c r="F34" s="22">
        <f t="shared" si="2"/>
        <v>-0.008415841584</v>
      </c>
      <c r="G34" s="22">
        <f t="shared" si="2"/>
        <v>0.02524752475</v>
      </c>
      <c r="H34" s="22">
        <f t="shared" si="2"/>
        <v>0.02623762376</v>
      </c>
      <c r="I34" s="22">
        <f t="shared" si="2"/>
        <v>0.1400990099</v>
      </c>
      <c r="J34" s="22"/>
      <c r="K34" s="22">
        <f t="shared" si="3"/>
        <v>0.09504950495</v>
      </c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58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51" t="s">
        <v>35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13" t="s">
        <v>36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13" t="s">
        <v>37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15" t="s">
        <v>38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12" t="s">
        <v>39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16" t="s">
        <v>40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16" t="s">
        <v>41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46" t="s">
        <v>42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46" t="s">
        <v>43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</row>
    <row r="1003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</row>
    <row r="1004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</row>
    <row r="1005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</row>
    <row r="1006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</row>
    <row r="1007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</row>
    <row r="1008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</row>
    <row r="1009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</row>
  </sheetData>
  <hyperlinks>
    <hyperlink r:id="rId1" ref="C20"/>
    <hyperlink r:id="rId2" ref="D20"/>
    <hyperlink r:id="rId3" ref="E20"/>
    <hyperlink r:id="rId4" ref="F20"/>
    <hyperlink r:id="rId5" ref="G20"/>
    <hyperlink r:id="rId6" ref="H20"/>
    <hyperlink r:id="rId7" ref="I20"/>
    <hyperlink r:id="rId8" ref="J20"/>
    <hyperlink r:id="rId9" ref="K20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5.0"/>
  </cols>
  <sheetData>
    <row r="1">
      <c r="A1" s="1" t="s">
        <v>170</v>
      </c>
      <c r="B1" s="28" t="s">
        <v>171</v>
      </c>
    </row>
    <row r="3">
      <c r="A3" s="2" t="s">
        <v>1</v>
      </c>
      <c r="B3" s="2" t="s">
        <v>2</v>
      </c>
    </row>
    <row r="4">
      <c r="A4" s="3" t="s">
        <v>3</v>
      </c>
      <c r="B4" s="4" t="s">
        <v>4</v>
      </c>
    </row>
    <row r="5">
      <c r="A5" s="3" t="s">
        <v>5</v>
      </c>
      <c r="B5" s="4" t="s">
        <v>172</v>
      </c>
    </row>
    <row r="6">
      <c r="A6" s="3" t="s">
        <v>7</v>
      </c>
      <c r="B6" s="4">
        <v>20.0</v>
      </c>
    </row>
    <row r="7">
      <c r="A7" s="4" t="s">
        <v>48</v>
      </c>
      <c r="B7" s="4">
        <v>10.0</v>
      </c>
    </row>
    <row r="8">
      <c r="A8" s="3" t="s">
        <v>9</v>
      </c>
      <c r="B8" s="4">
        <v>5.0</v>
      </c>
    </row>
    <row r="9">
      <c r="A9" s="3" t="s">
        <v>11</v>
      </c>
      <c r="B9" s="3" t="s">
        <v>12</v>
      </c>
    </row>
    <row r="11">
      <c r="A11" s="5" t="s">
        <v>13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39"/>
      <c r="M11" s="39"/>
      <c r="N11" s="39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1" t="s">
        <v>14</v>
      </c>
    </row>
    <row r="13">
      <c r="A13" s="1" t="s">
        <v>173</v>
      </c>
      <c r="B13" s="4"/>
      <c r="C13" s="4">
        <v>10.0</v>
      </c>
      <c r="D13" s="4">
        <v>10.0</v>
      </c>
      <c r="E13" s="4">
        <v>1000.0</v>
      </c>
      <c r="F13" s="4">
        <v>1000.0</v>
      </c>
      <c r="G13" s="4">
        <v>2000.0</v>
      </c>
      <c r="H13" s="4">
        <v>2000.0</v>
      </c>
      <c r="I13" s="4">
        <v>5000.0</v>
      </c>
      <c r="J13" s="4">
        <v>5000.0</v>
      </c>
      <c r="K13" s="28">
        <v>10000.0</v>
      </c>
      <c r="L13" s="28">
        <v>10000.0</v>
      </c>
      <c r="M13" s="28">
        <v>10000.0</v>
      </c>
      <c r="N13" s="28">
        <v>10000.0</v>
      </c>
    </row>
    <row r="14">
      <c r="A14" s="1" t="s">
        <v>174</v>
      </c>
      <c r="B14" s="4"/>
      <c r="C14" s="4">
        <f t="shared" ref="C14:L14" si="1">C13*150/1000</f>
        <v>1.5</v>
      </c>
      <c r="D14" s="4">
        <f t="shared" si="1"/>
        <v>1.5</v>
      </c>
      <c r="E14" s="4">
        <f t="shared" si="1"/>
        <v>150</v>
      </c>
      <c r="F14" s="4">
        <f t="shared" si="1"/>
        <v>150</v>
      </c>
      <c r="G14" s="4">
        <f t="shared" si="1"/>
        <v>300</v>
      </c>
      <c r="H14" s="4">
        <f t="shared" si="1"/>
        <v>300</v>
      </c>
      <c r="I14" s="4">
        <f t="shared" si="1"/>
        <v>750</v>
      </c>
      <c r="J14" s="4">
        <f t="shared" si="1"/>
        <v>750</v>
      </c>
      <c r="K14" s="28">
        <f t="shared" si="1"/>
        <v>1500</v>
      </c>
      <c r="L14" s="28">
        <f t="shared" si="1"/>
        <v>1500</v>
      </c>
      <c r="M14" s="28">
        <v>3000.0</v>
      </c>
      <c r="N14" s="28">
        <v>3000.0</v>
      </c>
    </row>
    <row r="15">
      <c r="A15" s="1" t="s">
        <v>16</v>
      </c>
      <c r="B15" s="4"/>
      <c r="C15" s="4" t="s">
        <v>17</v>
      </c>
      <c r="D15" s="4" t="s">
        <v>18</v>
      </c>
      <c r="E15" s="4" t="s">
        <v>17</v>
      </c>
      <c r="F15" s="4" t="s">
        <v>18</v>
      </c>
      <c r="G15" s="4" t="s">
        <v>17</v>
      </c>
      <c r="H15" s="4" t="s">
        <v>18</v>
      </c>
      <c r="I15" s="4" t="s">
        <v>17</v>
      </c>
      <c r="J15" s="4" t="s">
        <v>18</v>
      </c>
      <c r="K15" s="4" t="s">
        <v>17</v>
      </c>
      <c r="L15" s="4" t="s">
        <v>18</v>
      </c>
      <c r="M15" s="4" t="s">
        <v>17</v>
      </c>
      <c r="N15" s="4" t="s">
        <v>18</v>
      </c>
    </row>
    <row r="16">
      <c r="A16" s="1" t="s">
        <v>19</v>
      </c>
      <c r="B16" s="4"/>
      <c r="C16" s="4" t="s">
        <v>20</v>
      </c>
      <c r="D16" s="4" t="s">
        <v>20</v>
      </c>
      <c r="E16" s="4" t="s">
        <v>20</v>
      </c>
      <c r="F16" s="4" t="s">
        <v>20</v>
      </c>
      <c r="G16" s="4" t="s">
        <v>20</v>
      </c>
      <c r="H16" s="4" t="s">
        <v>20</v>
      </c>
      <c r="I16" s="4" t="s">
        <v>20</v>
      </c>
      <c r="J16" s="4" t="s">
        <v>20</v>
      </c>
      <c r="K16" s="4" t="s">
        <v>20</v>
      </c>
      <c r="L16" s="4" t="s">
        <v>20</v>
      </c>
      <c r="M16" s="4" t="s">
        <v>20</v>
      </c>
      <c r="N16" s="4" t="s">
        <v>20</v>
      </c>
    </row>
    <row r="17">
      <c r="A17" s="1" t="s">
        <v>21</v>
      </c>
    </row>
    <row r="18">
      <c r="A18" s="1" t="s">
        <v>22</v>
      </c>
    </row>
    <row r="19">
      <c r="A19" s="1" t="s">
        <v>23</v>
      </c>
    </row>
    <row r="20">
      <c r="A20" s="1" t="s">
        <v>24</v>
      </c>
    </row>
    <row r="22">
      <c r="A22" s="8" t="s">
        <v>25</v>
      </c>
      <c r="B22" s="8" t="s">
        <v>26</v>
      </c>
      <c r="C22" s="9"/>
      <c r="D22" s="9"/>
      <c r="E22" s="9"/>
      <c r="F22" s="9"/>
      <c r="G22" s="9"/>
      <c r="H22" s="9"/>
      <c r="I22" s="9"/>
      <c r="J22" s="9"/>
      <c r="K22" s="9"/>
      <c r="L22" s="40"/>
      <c r="M22" s="40"/>
      <c r="N22" s="40"/>
    </row>
    <row r="23">
      <c r="A23" s="10" t="s">
        <v>27</v>
      </c>
      <c r="B23" s="4">
        <v>155.0</v>
      </c>
      <c r="D23" s="4"/>
      <c r="G23" s="4"/>
      <c r="H23" s="4"/>
      <c r="K23" s="4"/>
      <c r="L23" s="4"/>
    </row>
    <row r="24">
      <c r="A24" s="10" t="s">
        <v>28</v>
      </c>
      <c r="B24" s="4">
        <v>50.0</v>
      </c>
      <c r="C24" s="4">
        <v>47.0</v>
      </c>
      <c r="D24" s="4">
        <v>44.0</v>
      </c>
      <c r="E24" s="4">
        <v>50.0</v>
      </c>
      <c r="F24" s="4">
        <v>47.0</v>
      </c>
      <c r="G24" s="4">
        <v>52.0</v>
      </c>
      <c r="H24" s="4">
        <v>52.0</v>
      </c>
      <c r="I24" s="4">
        <v>98.0</v>
      </c>
      <c r="J24" s="4">
        <v>105.0</v>
      </c>
      <c r="K24" s="4">
        <v>168.0</v>
      </c>
      <c r="L24" s="4">
        <v>232.0</v>
      </c>
      <c r="M24" s="4">
        <v>294.0</v>
      </c>
      <c r="N24" s="4">
        <v>350.0</v>
      </c>
    </row>
    <row r="25">
      <c r="A25" s="10" t="s">
        <v>29</v>
      </c>
      <c r="B25" s="4">
        <v>40.0</v>
      </c>
      <c r="D25" s="4"/>
      <c r="G25" s="4"/>
      <c r="H25" s="4"/>
      <c r="K25" s="4"/>
      <c r="L25" s="4"/>
    </row>
    <row r="26">
      <c r="A26" s="10" t="s">
        <v>30</v>
      </c>
      <c r="B26" s="4">
        <v>40.0</v>
      </c>
      <c r="D26" s="4"/>
      <c r="G26" s="4"/>
      <c r="H26" s="4"/>
      <c r="K26" s="4"/>
      <c r="L26" s="4"/>
    </row>
    <row r="27">
      <c r="A27" s="10" t="s">
        <v>31</v>
      </c>
      <c r="B27" s="4">
        <v>40.0</v>
      </c>
      <c r="D27" s="4"/>
      <c r="G27" s="4"/>
      <c r="H27" s="4"/>
      <c r="K27" s="4"/>
      <c r="L27" s="4"/>
    </row>
    <row r="28">
      <c r="A28" s="11" t="s">
        <v>32</v>
      </c>
      <c r="B28" s="4">
        <v>200.0</v>
      </c>
      <c r="D28" s="4"/>
      <c r="G28" s="4"/>
      <c r="H28" s="4"/>
      <c r="K28" s="4"/>
      <c r="L28" s="4"/>
    </row>
    <row r="29">
      <c r="A29" s="11" t="s">
        <v>33</v>
      </c>
      <c r="C29" s="60"/>
      <c r="D29" s="25"/>
      <c r="E29" s="60"/>
      <c r="F29" s="60"/>
      <c r="G29" s="25"/>
      <c r="H29" s="25"/>
      <c r="I29" s="60"/>
      <c r="J29" s="60"/>
      <c r="K29" s="25"/>
      <c r="L29" s="25"/>
    </row>
    <row r="30">
      <c r="A30" s="11" t="s">
        <v>34</v>
      </c>
      <c r="H30" s="42"/>
      <c r="L30" s="42"/>
    </row>
    <row r="31">
      <c r="A31" s="11" t="s">
        <v>175</v>
      </c>
      <c r="C31" s="22"/>
      <c r="D31" s="22"/>
      <c r="E31" s="22"/>
      <c r="F31" s="22">
        <f>(F24-E24)/E24</f>
        <v>-0.06</v>
      </c>
      <c r="G31" s="22"/>
      <c r="H31" s="22">
        <f>(H24-G24)/G24</f>
        <v>0</v>
      </c>
      <c r="I31" s="22"/>
      <c r="J31" s="22">
        <f>(J24-I24)/I24</f>
        <v>0.07142857143</v>
      </c>
      <c r="K31" s="22"/>
      <c r="L31" s="22">
        <f>(L24-K24)/K24</f>
        <v>0.380952381</v>
      </c>
      <c r="M31" s="22"/>
      <c r="N31" s="22">
        <f>(N24-M24)/M24</f>
        <v>0.1904761905</v>
      </c>
    </row>
    <row r="32">
      <c r="A32" s="11" t="s">
        <v>62</v>
      </c>
      <c r="C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>
      <c r="A33" s="12"/>
    </row>
    <row r="34">
      <c r="A34" s="8" t="s">
        <v>35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40"/>
      <c r="M34" s="40"/>
      <c r="N34" s="40"/>
    </row>
    <row r="35">
      <c r="A35" s="13" t="s">
        <v>36</v>
      </c>
      <c r="B35" s="14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>
      <c r="A36" s="13" t="s">
        <v>37</v>
      </c>
      <c r="B36" s="14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>
      <c r="A37" s="15" t="s">
        <v>38</v>
      </c>
    </row>
    <row r="38">
      <c r="A38" s="12" t="s">
        <v>39</v>
      </c>
    </row>
    <row r="39">
      <c r="A39" s="16" t="s">
        <v>40</v>
      </c>
      <c r="B39" s="1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</row>
    <row r="40">
      <c r="A40" s="16" t="s">
        <v>41</v>
      </c>
      <c r="B40" s="1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>
      <c r="A41" s="17" t="s">
        <v>42</v>
      </c>
    </row>
    <row r="42">
      <c r="A42" s="17" t="s">
        <v>43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5.0"/>
  </cols>
  <sheetData>
    <row r="1">
      <c r="A1" s="1" t="s">
        <v>176</v>
      </c>
      <c r="B1" s="28" t="s">
        <v>177</v>
      </c>
    </row>
    <row r="3">
      <c r="A3" s="2" t="s">
        <v>1</v>
      </c>
      <c r="B3" s="2" t="s">
        <v>2</v>
      </c>
    </row>
    <row r="4">
      <c r="A4" s="3" t="s">
        <v>3</v>
      </c>
      <c r="B4" s="4" t="s">
        <v>4</v>
      </c>
    </row>
    <row r="5">
      <c r="A5" s="3" t="s">
        <v>5</v>
      </c>
      <c r="B5" s="4" t="s">
        <v>47</v>
      </c>
    </row>
    <row r="6">
      <c r="A6" s="3" t="s">
        <v>7</v>
      </c>
      <c r="B6" s="4">
        <v>20.0</v>
      </c>
    </row>
    <row r="7">
      <c r="A7" s="4" t="s">
        <v>48</v>
      </c>
      <c r="B7" s="4">
        <v>100.0</v>
      </c>
    </row>
    <row r="8">
      <c r="A8" s="3" t="s">
        <v>9</v>
      </c>
      <c r="B8" s="4">
        <v>1.0</v>
      </c>
    </row>
    <row r="9">
      <c r="A9" s="3" t="s">
        <v>11</v>
      </c>
      <c r="B9" s="3" t="s">
        <v>12</v>
      </c>
    </row>
    <row r="11">
      <c r="A11" s="5" t="s">
        <v>13</v>
      </c>
      <c r="B11" s="5"/>
      <c r="C11" s="6"/>
      <c r="D11" s="6"/>
      <c r="E11" s="6"/>
      <c r="F11" s="6"/>
      <c r="G11" s="6"/>
      <c r="H11" s="6"/>
      <c r="I11" s="6"/>
      <c r="J11" s="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" t="s">
        <v>14</v>
      </c>
    </row>
    <row r="13">
      <c r="A13" s="1" t="s">
        <v>178</v>
      </c>
      <c r="B13" s="4"/>
      <c r="C13" s="4" t="s">
        <v>179</v>
      </c>
      <c r="D13" s="4" t="s">
        <v>179</v>
      </c>
      <c r="E13" s="4" t="s">
        <v>180</v>
      </c>
      <c r="F13" s="4" t="s">
        <v>180</v>
      </c>
      <c r="G13" s="4" t="s">
        <v>181</v>
      </c>
      <c r="H13" s="4" t="s">
        <v>181</v>
      </c>
      <c r="I13" s="4" t="s">
        <v>182</v>
      </c>
      <c r="J13" s="4" t="s">
        <v>182</v>
      </c>
    </row>
    <row r="14">
      <c r="A14" s="1" t="s">
        <v>16</v>
      </c>
      <c r="B14" s="4"/>
      <c r="C14" s="4" t="s">
        <v>17</v>
      </c>
      <c r="D14" s="4" t="s">
        <v>18</v>
      </c>
      <c r="E14" s="4" t="s">
        <v>17</v>
      </c>
      <c r="F14" s="4" t="s">
        <v>18</v>
      </c>
      <c r="G14" s="4" t="s">
        <v>17</v>
      </c>
      <c r="H14" s="4" t="s">
        <v>18</v>
      </c>
      <c r="I14" s="4" t="s">
        <v>17</v>
      </c>
      <c r="J14" s="4" t="s">
        <v>18</v>
      </c>
    </row>
    <row r="15">
      <c r="A15" s="1" t="s">
        <v>19</v>
      </c>
      <c r="B15" s="4"/>
      <c r="C15" s="4" t="s">
        <v>20</v>
      </c>
      <c r="D15" s="4" t="s">
        <v>20</v>
      </c>
      <c r="E15" s="4" t="s">
        <v>20</v>
      </c>
      <c r="F15" s="4" t="s">
        <v>20</v>
      </c>
      <c r="G15" s="4" t="s">
        <v>20</v>
      </c>
      <c r="H15" s="4" t="s">
        <v>20</v>
      </c>
      <c r="I15" s="4" t="s">
        <v>20</v>
      </c>
      <c r="J15" s="4" t="s">
        <v>20</v>
      </c>
    </row>
    <row r="16">
      <c r="A16" s="1" t="s">
        <v>21</v>
      </c>
      <c r="C16" s="4" t="s">
        <v>183</v>
      </c>
      <c r="D16" s="4" t="s">
        <v>184</v>
      </c>
      <c r="E16" s="4" t="s">
        <v>185</v>
      </c>
      <c r="F16" s="4" t="s">
        <v>186</v>
      </c>
      <c r="G16" s="4" t="s">
        <v>187</v>
      </c>
      <c r="H16" s="4" t="s">
        <v>188</v>
      </c>
      <c r="I16" s="4" t="s">
        <v>189</v>
      </c>
      <c r="J16" s="4" t="s">
        <v>190</v>
      </c>
    </row>
    <row r="17">
      <c r="A17" s="1" t="s">
        <v>22</v>
      </c>
      <c r="C17" s="20" t="s">
        <v>191</v>
      </c>
      <c r="D17" s="20" t="s">
        <v>192</v>
      </c>
      <c r="E17" s="20" t="s">
        <v>193</v>
      </c>
      <c r="F17" s="20" t="s">
        <v>194</v>
      </c>
      <c r="G17" s="20" t="s">
        <v>195</v>
      </c>
      <c r="H17" s="20" t="s">
        <v>196</v>
      </c>
      <c r="I17" s="20" t="s">
        <v>197</v>
      </c>
      <c r="J17" s="20" t="s">
        <v>198</v>
      </c>
    </row>
    <row r="18">
      <c r="A18" s="1" t="s">
        <v>23</v>
      </c>
      <c r="C18" s="20" t="s">
        <v>199</v>
      </c>
      <c r="D18" s="20" t="s">
        <v>200</v>
      </c>
      <c r="E18" s="20" t="s">
        <v>201</v>
      </c>
      <c r="F18" s="20" t="s">
        <v>202</v>
      </c>
      <c r="G18" s="20" t="s">
        <v>203</v>
      </c>
      <c r="H18" s="20" t="s">
        <v>204</v>
      </c>
      <c r="I18" s="29" t="s">
        <v>205</v>
      </c>
      <c r="J18" s="20" t="s">
        <v>206</v>
      </c>
    </row>
    <row r="19">
      <c r="A19" s="1" t="s">
        <v>24</v>
      </c>
    </row>
    <row r="21">
      <c r="A21" s="8" t="s">
        <v>25</v>
      </c>
      <c r="B21" s="8" t="s">
        <v>26</v>
      </c>
      <c r="C21" s="9"/>
      <c r="D21" s="9"/>
      <c r="E21" s="9"/>
      <c r="F21" s="9"/>
      <c r="G21" s="9"/>
      <c r="H21" s="9"/>
      <c r="I21" s="9"/>
      <c r="J21" s="9"/>
    </row>
    <row r="22">
      <c r="A22" s="10" t="s">
        <v>207</v>
      </c>
      <c r="C22" s="4">
        <v>29.0</v>
      </c>
      <c r="D22" s="4">
        <v>51.0</v>
      </c>
      <c r="E22" s="4">
        <v>30.0</v>
      </c>
      <c r="F22" s="4">
        <v>51.0</v>
      </c>
      <c r="G22" s="4">
        <v>41.0</v>
      </c>
      <c r="H22" s="4">
        <v>65.0</v>
      </c>
      <c r="I22" s="4">
        <v>250.0</v>
      </c>
      <c r="J22" s="4">
        <v>253.0</v>
      </c>
    </row>
    <row r="23">
      <c r="A23" s="10" t="s">
        <v>28</v>
      </c>
      <c r="C23" s="4">
        <v>213.0</v>
      </c>
      <c r="D23" s="4">
        <v>342.0</v>
      </c>
      <c r="E23" s="4">
        <v>215.0</v>
      </c>
      <c r="F23" s="4">
        <v>365.0</v>
      </c>
      <c r="G23" s="4">
        <v>262.0</v>
      </c>
      <c r="H23" s="4">
        <v>413.0</v>
      </c>
      <c r="I23" s="61">
        <v>1364.0</v>
      </c>
      <c r="J23" s="61">
        <v>1409.0</v>
      </c>
    </row>
    <row r="24">
      <c r="A24" s="10" t="s">
        <v>29</v>
      </c>
      <c r="B24" s="4">
        <v>40.0</v>
      </c>
      <c r="C24" s="4">
        <v>53.0</v>
      </c>
      <c r="D24" s="4">
        <v>52.0</v>
      </c>
      <c r="E24" s="4">
        <v>52.0</v>
      </c>
      <c r="F24" s="4">
        <v>54.0</v>
      </c>
      <c r="G24" s="4">
        <v>48.0</v>
      </c>
      <c r="I24" s="4">
        <v>32.0</v>
      </c>
      <c r="J24" s="4">
        <v>36.0</v>
      </c>
    </row>
    <row r="25">
      <c r="A25" s="10" t="s">
        <v>30</v>
      </c>
      <c r="B25" s="4">
        <v>40.0</v>
      </c>
    </row>
    <row r="26">
      <c r="A26" s="10" t="s">
        <v>31</v>
      </c>
      <c r="B26" s="4">
        <v>40.0</v>
      </c>
    </row>
    <row r="27">
      <c r="A27" s="11" t="s">
        <v>32</v>
      </c>
      <c r="B27" s="4" t="s">
        <v>208</v>
      </c>
      <c r="C27" s="4">
        <v>123.0</v>
      </c>
      <c r="D27" s="4">
        <v>93.0</v>
      </c>
      <c r="E27" s="4">
        <v>130.0</v>
      </c>
      <c r="F27" s="4">
        <v>74.0</v>
      </c>
      <c r="G27" s="4">
        <v>119.0</v>
      </c>
      <c r="H27" s="4">
        <v>71.0</v>
      </c>
      <c r="I27" s="4">
        <v>53.0</v>
      </c>
      <c r="J27" s="4">
        <v>44.0</v>
      </c>
    </row>
    <row r="28">
      <c r="A28" s="11" t="s">
        <v>33</v>
      </c>
    </row>
    <row r="29">
      <c r="A29" s="11" t="s">
        <v>34</v>
      </c>
    </row>
    <row r="30">
      <c r="A30" s="12"/>
    </row>
    <row r="31">
      <c r="A31" s="8" t="s">
        <v>35</v>
      </c>
      <c r="B31" s="9"/>
      <c r="C31" s="9"/>
      <c r="D31" s="9"/>
      <c r="E31" s="9"/>
      <c r="F31" s="9"/>
      <c r="G31" s="9"/>
      <c r="H31" s="9"/>
      <c r="I31" s="9"/>
      <c r="J31" s="9"/>
    </row>
    <row r="32">
      <c r="A32" s="13" t="s">
        <v>36</v>
      </c>
      <c r="B32" s="14"/>
      <c r="C32" s="14"/>
      <c r="D32" s="14"/>
      <c r="E32" s="14"/>
      <c r="F32" s="14"/>
      <c r="G32" s="14"/>
      <c r="H32" s="14"/>
      <c r="I32" s="14"/>
      <c r="J32" s="14"/>
    </row>
    <row r="33">
      <c r="A33" s="13" t="s">
        <v>37</v>
      </c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5" t="s">
        <v>38</v>
      </c>
    </row>
    <row r="35">
      <c r="A35" s="12" t="s">
        <v>39</v>
      </c>
    </row>
    <row r="36">
      <c r="A36" s="16" t="s">
        <v>40</v>
      </c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6" t="s">
        <v>41</v>
      </c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7" t="s">
        <v>42</v>
      </c>
    </row>
    <row r="39">
      <c r="A39" s="17" t="s">
        <v>43</v>
      </c>
    </row>
  </sheetData>
  <hyperlinks>
    <hyperlink r:id="rId1" ref="C17"/>
    <hyperlink r:id="rId2" ref="D17"/>
    <hyperlink r:id="rId3" ref="E17"/>
    <hyperlink r:id="rId4" ref="F17"/>
    <hyperlink r:id="rId5" ref="G17"/>
    <hyperlink r:id="rId6" ref="H17"/>
    <hyperlink r:id="rId7" ref="I17"/>
    <hyperlink r:id="rId8" ref="J17"/>
    <hyperlink r:id="rId9" ref="C18"/>
    <hyperlink r:id="rId10" ref="D18"/>
    <hyperlink r:id="rId11" ref="E18"/>
    <hyperlink r:id="rId12" ref="F18"/>
    <hyperlink r:id="rId13" ref="G18"/>
    <hyperlink r:id="rId14" ref="H18"/>
    <hyperlink r:id="rId15" ref="I18"/>
    <hyperlink r:id="rId16" ref="J18"/>
  </hyperlinks>
  <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3" max="3" width="14.5"/>
    <col customWidth="1" min="4" max="4" width="17.75"/>
    <col customWidth="1" min="5" max="5" width="23.38"/>
    <col customWidth="1" min="6" max="6" width="20.38"/>
    <col customWidth="1" min="7" max="7" width="24.13"/>
    <col customWidth="1" min="8" max="8" width="25.25"/>
  </cols>
  <sheetData>
    <row r="1">
      <c r="A1" s="62" t="s">
        <v>209</v>
      </c>
      <c r="B1" s="63" t="s">
        <v>210</v>
      </c>
      <c r="C1" s="63" t="s">
        <v>211</v>
      </c>
      <c r="D1" s="63" t="s">
        <v>212</v>
      </c>
      <c r="E1" s="63" t="s">
        <v>213</v>
      </c>
      <c r="F1" s="64" t="s">
        <v>214</v>
      </c>
      <c r="G1" s="64" t="s">
        <v>215</v>
      </c>
      <c r="H1" s="65" t="s">
        <v>216</v>
      </c>
    </row>
    <row r="2">
      <c r="A2" s="66" t="s">
        <v>217</v>
      </c>
      <c r="B2" s="67">
        <v>2.0</v>
      </c>
      <c r="C2" s="67">
        <v>4.0</v>
      </c>
      <c r="D2" s="67">
        <v>13.0</v>
      </c>
      <c r="E2" s="67">
        <v>1.0</v>
      </c>
      <c r="F2" s="68">
        <f>((Cost_Increases[NewCores]-Cost_Increases[OldCores])/Cost_Increases[OldCores])</f>
        <v>1</v>
      </c>
      <c r="G2" s="68">
        <f>Cost_Increases[CPU Increase %]*0.2</f>
        <v>0.2</v>
      </c>
      <c r="H2" s="69">
        <f>round(Cost_Increases[Scaled CPU Increase]*Cost_Increases[DurationMinutes]*Cost_Increases[ExpectedRunsPerMonth]/43200, 6)</f>
        <v>0.00006</v>
      </c>
    </row>
    <row r="3">
      <c r="A3" s="70" t="s">
        <v>218</v>
      </c>
      <c r="B3" s="71">
        <v>2.0</v>
      </c>
      <c r="C3" s="71">
        <v>4.0</v>
      </c>
      <c r="D3" s="71">
        <v>480.0</v>
      </c>
      <c r="E3" s="71">
        <v>30.0</v>
      </c>
      <c r="F3" s="72">
        <f>((Cost_Increases[NewCores]-Cost_Increases[OldCores])/Cost_Increases[OldCores])</f>
        <v>1</v>
      </c>
      <c r="G3" s="72">
        <f>Cost_Increases[CPU Increase %]*0.2</f>
        <v>0.2</v>
      </c>
      <c r="H3" s="73">
        <f>round(Cost_Increases[Scaled CPU Increase]*Cost_Increases[DurationMinutes]*Cost_Increases[ExpectedRunsPerMonth]/43200, 6)</f>
        <v>0.066667</v>
      </c>
    </row>
    <row r="4">
      <c r="A4" s="74" t="s">
        <v>219</v>
      </c>
      <c r="B4" s="75">
        <v>2.0</v>
      </c>
      <c r="C4" s="75">
        <v>3.0</v>
      </c>
      <c r="D4" s="75">
        <v>20.0</v>
      </c>
      <c r="E4" s="75">
        <v>20.0</v>
      </c>
      <c r="F4" s="68">
        <f>((Cost_Increases[NewCores]-Cost_Increases[OldCores])/Cost_Increases[OldCores])</f>
        <v>0.5</v>
      </c>
      <c r="G4" s="68">
        <f>Cost_Increases[CPU Increase %]*0.2</f>
        <v>0.1</v>
      </c>
      <c r="H4" s="69">
        <f>round(Cost_Increases[Scaled CPU Increase]*Cost_Increases[DurationMinutes]*Cost_Increases[ExpectedRunsPerMonth]/43200, 6)</f>
        <v>0.000926</v>
      </c>
    </row>
    <row r="5">
      <c r="A5" s="70" t="s">
        <v>220</v>
      </c>
      <c r="B5" s="71">
        <v>2.0</v>
      </c>
      <c r="C5" s="71">
        <v>4.0</v>
      </c>
      <c r="D5" s="71">
        <v>20.0</v>
      </c>
      <c r="E5" s="71">
        <v>20.0</v>
      </c>
      <c r="F5" s="72">
        <f>((Cost_Increases[NewCores]-Cost_Increases[OldCores])/Cost_Increases[OldCores])</f>
        <v>1</v>
      </c>
      <c r="G5" s="72">
        <f>Cost_Increases[CPU Increase %]*0.2</f>
        <v>0.2</v>
      </c>
      <c r="H5" s="73">
        <f>round(Cost_Increases[Scaled CPU Increase]*Cost_Increases[DurationMinutes]*Cost_Increases[ExpectedRunsPerMonth]/43200, 6)</f>
        <v>0.001852</v>
      </c>
    </row>
    <row r="6">
      <c r="A6" s="76" t="s">
        <v>221</v>
      </c>
      <c r="B6" s="77">
        <v>2.5</v>
      </c>
      <c r="C6" s="77">
        <v>5.0</v>
      </c>
      <c r="D6" s="77">
        <v>15.0</v>
      </c>
      <c r="E6" s="77">
        <v>20.0</v>
      </c>
      <c r="F6" s="78">
        <f>((Cost_Increases[NewCores]-Cost_Increases[OldCores])/Cost_Increases[OldCores])</f>
        <v>1</v>
      </c>
      <c r="G6" s="78">
        <f>Cost_Increases[CPU Increase %]*0.2</f>
        <v>0.2</v>
      </c>
      <c r="H6" s="79">
        <f>round(Cost_Increases[Scaled CPU Increase]*Cost_Increases[DurationMinutes]*Cost_Increases[ExpectedRunsPerMonth]/43200, 6)</f>
        <v>0.001389</v>
      </c>
    </row>
    <row r="7">
      <c r="H7" s="80"/>
    </row>
    <row r="8">
      <c r="H8" s="80"/>
    </row>
    <row r="9">
      <c r="H9" s="80"/>
    </row>
    <row r="10">
      <c r="H10" s="80"/>
    </row>
    <row r="11">
      <c r="H11" s="80"/>
    </row>
    <row r="12">
      <c r="H12" s="80"/>
    </row>
    <row r="13">
      <c r="H13" s="80"/>
    </row>
    <row r="14">
      <c r="H14" s="80"/>
    </row>
    <row r="15">
      <c r="H15" s="80"/>
    </row>
    <row r="16">
      <c r="H16" s="80"/>
    </row>
    <row r="17">
      <c r="H17" s="80"/>
    </row>
    <row r="18">
      <c r="H18" s="80"/>
    </row>
    <row r="19">
      <c r="H19" s="80"/>
    </row>
    <row r="20">
      <c r="H20" s="80"/>
    </row>
    <row r="21">
      <c r="H21" s="80"/>
    </row>
    <row r="22">
      <c r="H22" s="80"/>
    </row>
    <row r="23">
      <c r="H23" s="80"/>
    </row>
    <row r="24">
      <c r="H24" s="80"/>
    </row>
    <row r="25">
      <c r="H25" s="80"/>
    </row>
    <row r="26">
      <c r="H26" s="80"/>
    </row>
    <row r="27">
      <c r="H27" s="80"/>
    </row>
    <row r="28">
      <c r="H28" s="80"/>
    </row>
    <row r="29">
      <c r="H29" s="80"/>
    </row>
    <row r="30">
      <c r="H30" s="80"/>
    </row>
    <row r="31">
      <c r="H31" s="80"/>
    </row>
    <row r="32">
      <c r="H32" s="80"/>
    </row>
    <row r="33">
      <c r="H33" s="80"/>
    </row>
    <row r="34">
      <c r="H34" s="80"/>
    </row>
    <row r="35">
      <c r="H35" s="80"/>
    </row>
    <row r="36">
      <c r="H36" s="80"/>
    </row>
    <row r="37">
      <c r="H37" s="80"/>
    </row>
    <row r="38">
      <c r="H38" s="80"/>
    </row>
    <row r="39">
      <c r="H39" s="80"/>
    </row>
    <row r="40">
      <c r="H40" s="80"/>
    </row>
    <row r="41">
      <c r="H41" s="80"/>
    </row>
    <row r="42">
      <c r="H42" s="80"/>
    </row>
    <row r="43">
      <c r="H43" s="80"/>
    </row>
    <row r="44">
      <c r="H44" s="80"/>
    </row>
    <row r="45">
      <c r="H45" s="80"/>
    </row>
    <row r="46">
      <c r="H46" s="80"/>
    </row>
    <row r="47">
      <c r="H47" s="80"/>
    </row>
    <row r="48">
      <c r="H48" s="80"/>
    </row>
    <row r="49">
      <c r="H49" s="80"/>
    </row>
    <row r="50">
      <c r="H50" s="80"/>
    </row>
    <row r="51">
      <c r="H51" s="80"/>
    </row>
    <row r="52">
      <c r="H52" s="80"/>
    </row>
    <row r="53">
      <c r="H53" s="80"/>
    </row>
    <row r="54">
      <c r="H54" s="80"/>
    </row>
    <row r="55">
      <c r="H55" s="80"/>
    </row>
    <row r="56">
      <c r="H56" s="80"/>
    </row>
    <row r="57">
      <c r="H57" s="80"/>
    </row>
    <row r="58">
      <c r="H58" s="80"/>
    </row>
    <row r="59">
      <c r="H59" s="80"/>
    </row>
    <row r="60">
      <c r="H60" s="80"/>
    </row>
    <row r="61">
      <c r="H61" s="80"/>
    </row>
    <row r="62">
      <c r="H62" s="80"/>
    </row>
    <row r="63">
      <c r="H63" s="80"/>
    </row>
    <row r="64">
      <c r="H64" s="80"/>
    </row>
    <row r="65">
      <c r="H65" s="80"/>
    </row>
    <row r="66">
      <c r="H66" s="80"/>
    </row>
    <row r="67">
      <c r="H67" s="80"/>
    </row>
    <row r="68">
      <c r="H68" s="80"/>
    </row>
    <row r="69">
      <c r="H69" s="80"/>
    </row>
    <row r="70">
      <c r="H70" s="80"/>
    </row>
    <row r="71">
      <c r="H71" s="80"/>
    </row>
    <row r="72">
      <c r="H72" s="80"/>
    </row>
    <row r="73">
      <c r="H73" s="80"/>
    </row>
    <row r="74">
      <c r="H74" s="80"/>
    </row>
    <row r="75">
      <c r="H75" s="80"/>
    </row>
    <row r="76">
      <c r="H76" s="80"/>
    </row>
    <row r="77">
      <c r="H77" s="80"/>
    </row>
    <row r="78">
      <c r="H78" s="80"/>
    </row>
    <row r="79">
      <c r="H79" s="80"/>
    </row>
    <row r="80">
      <c r="H80" s="80"/>
    </row>
    <row r="81">
      <c r="H81" s="80"/>
    </row>
    <row r="82">
      <c r="H82" s="80"/>
    </row>
    <row r="83">
      <c r="H83" s="80"/>
    </row>
    <row r="84">
      <c r="H84" s="80"/>
    </row>
    <row r="85">
      <c r="H85" s="80"/>
    </row>
    <row r="86">
      <c r="H86" s="80"/>
    </row>
    <row r="87">
      <c r="H87" s="80"/>
    </row>
    <row r="88">
      <c r="H88" s="80"/>
    </row>
    <row r="89">
      <c r="H89" s="80"/>
    </row>
    <row r="90">
      <c r="H90" s="80"/>
    </row>
    <row r="91">
      <c r="H91" s="80"/>
    </row>
    <row r="92">
      <c r="H92" s="80"/>
    </row>
    <row r="93">
      <c r="H93" s="80"/>
    </row>
    <row r="94">
      <c r="H94" s="80"/>
    </row>
    <row r="95">
      <c r="H95" s="80"/>
    </row>
    <row r="96">
      <c r="H96" s="80"/>
    </row>
    <row r="97">
      <c r="H97" s="80"/>
    </row>
    <row r="98">
      <c r="H98" s="80"/>
    </row>
    <row r="99">
      <c r="H99" s="80"/>
    </row>
    <row r="100">
      <c r="H100" s="80"/>
    </row>
    <row r="101">
      <c r="H101" s="80"/>
    </row>
    <row r="102">
      <c r="H102" s="80"/>
    </row>
    <row r="103">
      <c r="H103" s="80"/>
    </row>
    <row r="104">
      <c r="H104" s="80"/>
    </row>
    <row r="105">
      <c r="H105" s="80"/>
    </row>
    <row r="106">
      <c r="H106" s="80"/>
    </row>
    <row r="107">
      <c r="H107" s="80"/>
    </row>
    <row r="108">
      <c r="H108" s="80"/>
    </row>
    <row r="109">
      <c r="H109" s="80"/>
    </row>
    <row r="110">
      <c r="H110" s="80"/>
    </row>
    <row r="111">
      <c r="H111" s="80"/>
    </row>
    <row r="112">
      <c r="H112" s="80"/>
    </row>
    <row r="113">
      <c r="H113" s="80"/>
    </row>
    <row r="114">
      <c r="H114" s="80"/>
    </row>
    <row r="115">
      <c r="H115" s="80"/>
    </row>
    <row r="116">
      <c r="H116" s="80"/>
    </row>
    <row r="117">
      <c r="H117" s="80"/>
    </row>
    <row r="118">
      <c r="H118" s="80"/>
    </row>
    <row r="119">
      <c r="H119" s="80"/>
    </row>
    <row r="120">
      <c r="H120" s="80"/>
    </row>
    <row r="121">
      <c r="H121" s="80"/>
    </row>
    <row r="122">
      <c r="H122" s="80"/>
    </row>
    <row r="123">
      <c r="H123" s="80"/>
    </row>
    <row r="124">
      <c r="H124" s="80"/>
    </row>
    <row r="125">
      <c r="H125" s="80"/>
    </row>
    <row r="126">
      <c r="H126" s="80"/>
    </row>
    <row r="127">
      <c r="H127" s="80"/>
    </row>
    <row r="128">
      <c r="H128" s="80"/>
    </row>
    <row r="129">
      <c r="H129" s="80"/>
    </row>
    <row r="130">
      <c r="H130" s="80"/>
    </row>
    <row r="131">
      <c r="H131" s="80"/>
    </row>
    <row r="132">
      <c r="H132" s="80"/>
    </row>
    <row r="133">
      <c r="H133" s="80"/>
    </row>
    <row r="134">
      <c r="H134" s="80"/>
    </row>
    <row r="135">
      <c r="H135" s="80"/>
    </row>
    <row r="136">
      <c r="H136" s="80"/>
    </row>
    <row r="137">
      <c r="H137" s="80"/>
    </row>
    <row r="138">
      <c r="H138" s="80"/>
    </row>
    <row r="139">
      <c r="H139" s="80"/>
    </row>
    <row r="140">
      <c r="H140" s="80"/>
    </row>
    <row r="141">
      <c r="H141" s="80"/>
    </row>
    <row r="142">
      <c r="H142" s="80"/>
    </row>
    <row r="143">
      <c r="H143" s="80"/>
    </row>
    <row r="144">
      <c r="H144" s="80"/>
    </row>
    <row r="145">
      <c r="H145" s="80"/>
    </row>
    <row r="146">
      <c r="H146" s="80"/>
    </row>
    <row r="147">
      <c r="H147" s="80"/>
    </row>
    <row r="148">
      <c r="H148" s="80"/>
    </row>
    <row r="149">
      <c r="H149" s="80"/>
    </row>
    <row r="150">
      <c r="H150" s="80"/>
    </row>
    <row r="151">
      <c r="H151" s="80"/>
    </row>
    <row r="152">
      <c r="H152" s="80"/>
    </row>
    <row r="153">
      <c r="H153" s="80"/>
    </row>
    <row r="154">
      <c r="H154" s="80"/>
    </row>
    <row r="155">
      <c r="H155" s="80"/>
    </row>
    <row r="156">
      <c r="H156" s="80"/>
    </row>
    <row r="157">
      <c r="H157" s="80"/>
    </row>
    <row r="158">
      <c r="H158" s="80"/>
    </row>
    <row r="159">
      <c r="H159" s="80"/>
    </row>
    <row r="160">
      <c r="H160" s="80"/>
    </row>
    <row r="161">
      <c r="H161" s="80"/>
    </row>
    <row r="162">
      <c r="H162" s="80"/>
    </row>
    <row r="163">
      <c r="H163" s="80"/>
    </row>
    <row r="164">
      <c r="H164" s="80"/>
    </row>
    <row r="165">
      <c r="H165" s="80"/>
    </row>
    <row r="166">
      <c r="H166" s="80"/>
    </row>
    <row r="167">
      <c r="H167" s="80"/>
    </row>
    <row r="168">
      <c r="H168" s="80"/>
    </row>
    <row r="169">
      <c r="H169" s="80"/>
    </row>
    <row r="170">
      <c r="H170" s="80"/>
    </row>
    <row r="171">
      <c r="H171" s="80"/>
    </row>
    <row r="172">
      <c r="H172" s="80"/>
    </row>
    <row r="173">
      <c r="H173" s="80"/>
    </row>
    <row r="174">
      <c r="H174" s="80"/>
    </row>
    <row r="175">
      <c r="H175" s="80"/>
    </row>
    <row r="176">
      <c r="H176" s="80"/>
    </row>
    <row r="177">
      <c r="H177" s="80"/>
    </row>
    <row r="178">
      <c r="H178" s="80"/>
    </row>
    <row r="179">
      <c r="H179" s="80"/>
    </row>
    <row r="180">
      <c r="H180" s="80"/>
    </row>
    <row r="181">
      <c r="H181" s="80"/>
    </row>
    <row r="182">
      <c r="H182" s="80"/>
    </row>
    <row r="183">
      <c r="H183" s="80"/>
    </row>
    <row r="184">
      <c r="H184" s="80"/>
    </row>
    <row r="185">
      <c r="H185" s="80"/>
    </row>
    <row r="186">
      <c r="H186" s="80"/>
    </row>
    <row r="187">
      <c r="H187" s="80"/>
    </row>
    <row r="188">
      <c r="H188" s="80"/>
    </row>
    <row r="189">
      <c r="H189" s="80"/>
    </row>
    <row r="190">
      <c r="H190" s="80"/>
    </row>
    <row r="191">
      <c r="H191" s="80"/>
    </row>
    <row r="192">
      <c r="H192" s="80"/>
    </row>
    <row r="193">
      <c r="H193" s="80"/>
    </row>
    <row r="194">
      <c r="H194" s="80"/>
    </row>
    <row r="195">
      <c r="H195" s="80"/>
    </row>
    <row r="196">
      <c r="H196" s="80"/>
    </row>
    <row r="197">
      <c r="H197" s="80"/>
    </row>
    <row r="198">
      <c r="H198" s="80"/>
    </row>
    <row r="199">
      <c r="H199" s="80"/>
    </row>
    <row r="200">
      <c r="H200" s="80"/>
    </row>
    <row r="201">
      <c r="H201" s="80"/>
    </row>
    <row r="202">
      <c r="H202" s="80"/>
    </row>
    <row r="203">
      <c r="H203" s="80"/>
    </row>
    <row r="204">
      <c r="H204" s="80"/>
    </row>
    <row r="205">
      <c r="H205" s="80"/>
    </row>
    <row r="206">
      <c r="H206" s="80"/>
    </row>
    <row r="207">
      <c r="H207" s="80"/>
    </row>
    <row r="208">
      <c r="H208" s="80"/>
    </row>
    <row r="209">
      <c r="H209" s="80"/>
    </row>
    <row r="210">
      <c r="H210" s="80"/>
    </row>
    <row r="211">
      <c r="H211" s="80"/>
    </row>
    <row r="212">
      <c r="H212" s="80"/>
    </row>
    <row r="213">
      <c r="H213" s="80"/>
    </row>
    <row r="214">
      <c r="H214" s="80"/>
    </row>
    <row r="215">
      <c r="H215" s="80"/>
    </row>
    <row r="216">
      <c r="H216" s="80"/>
    </row>
    <row r="217">
      <c r="H217" s="80"/>
    </row>
    <row r="218">
      <c r="H218" s="80"/>
    </row>
    <row r="219">
      <c r="H219" s="80"/>
    </row>
    <row r="220">
      <c r="H220" s="80"/>
    </row>
    <row r="221">
      <c r="H221" s="80"/>
    </row>
    <row r="222">
      <c r="H222" s="80"/>
    </row>
    <row r="223">
      <c r="H223" s="80"/>
    </row>
    <row r="224">
      <c r="H224" s="80"/>
    </row>
    <row r="225">
      <c r="H225" s="80"/>
    </row>
    <row r="226">
      <c r="H226" s="80"/>
    </row>
    <row r="227">
      <c r="H227" s="80"/>
    </row>
    <row r="228">
      <c r="H228" s="80"/>
    </row>
    <row r="229">
      <c r="H229" s="80"/>
    </row>
    <row r="230">
      <c r="H230" s="80"/>
    </row>
    <row r="231">
      <c r="H231" s="80"/>
    </row>
    <row r="232">
      <c r="H232" s="80"/>
    </row>
    <row r="233">
      <c r="H233" s="80"/>
    </row>
    <row r="234">
      <c r="H234" s="80"/>
    </row>
    <row r="235">
      <c r="H235" s="80"/>
    </row>
    <row r="236">
      <c r="H236" s="80"/>
    </row>
    <row r="237">
      <c r="H237" s="80"/>
    </row>
    <row r="238">
      <c r="H238" s="80"/>
    </row>
    <row r="239">
      <c r="H239" s="80"/>
    </row>
    <row r="240">
      <c r="H240" s="80"/>
    </row>
    <row r="241">
      <c r="H241" s="80"/>
    </row>
    <row r="242">
      <c r="H242" s="80"/>
    </row>
    <row r="243">
      <c r="H243" s="80"/>
    </row>
    <row r="244">
      <c r="H244" s="80"/>
    </row>
    <row r="245">
      <c r="H245" s="80"/>
    </row>
    <row r="246">
      <c r="H246" s="80"/>
    </row>
    <row r="247">
      <c r="H247" s="80"/>
    </row>
    <row r="248">
      <c r="H248" s="80"/>
    </row>
    <row r="249">
      <c r="H249" s="80"/>
    </row>
    <row r="250">
      <c r="H250" s="80"/>
    </row>
    <row r="251">
      <c r="H251" s="80"/>
    </row>
    <row r="252">
      <c r="H252" s="80"/>
    </row>
    <row r="253">
      <c r="H253" s="80"/>
    </row>
    <row r="254">
      <c r="H254" s="80"/>
    </row>
    <row r="255">
      <c r="H255" s="80"/>
    </row>
    <row r="256">
      <c r="H256" s="80"/>
    </row>
    <row r="257">
      <c r="H257" s="80"/>
    </row>
    <row r="258">
      <c r="H258" s="80"/>
    </row>
    <row r="259">
      <c r="H259" s="80"/>
    </row>
    <row r="260">
      <c r="H260" s="80"/>
    </row>
    <row r="261">
      <c r="H261" s="80"/>
    </row>
    <row r="262">
      <c r="H262" s="80"/>
    </row>
    <row r="263">
      <c r="H263" s="80"/>
    </row>
    <row r="264">
      <c r="H264" s="80"/>
    </row>
    <row r="265">
      <c r="H265" s="80"/>
    </row>
    <row r="266">
      <c r="H266" s="80"/>
    </row>
    <row r="267">
      <c r="H267" s="80"/>
    </row>
    <row r="268">
      <c r="H268" s="80"/>
    </row>
    <row r="269">
      <c r="H269" s="80"/>
    </row>
    <row r="270">
      <c r="H270" s="80"/>
    </row>
    <row r="271">
      <c r="H271" s="80"/>
    </row>
    <row r="272">
      <c r="H272" s="80"/>
    </row>
    <row r="273">
      <c r="H273" s="80"/>
    </row>
    <row r="274">
      <c r="H274" s="80"/>
    </row>
    <row r="275">
      <c r="H275" s="80"/>
    </row>
    <row r="276">
      <c r="H276" s="80"/>
    </row>
    <row r="277">
      <c r="H277" s="80"/>
    </row>
    <row r="278">
      <c r="H278" s="80"/>
    </row>
    <row r="279">
      <c r="H279" s="80"/>
    </row>
    <row r="280">
      <c r="H280" s="80"/>
    </row>
    <row r="281">
      <c r="H281" s="80"/>
    </row>
    <row r="282">
      <c r="H282" s="80"/>
    </row>
    <row r="283">
      <c r="H283" s="80"/>
    </row>
    <row r="284">
      <c r="H284" s="80"/>
    </row>
    <row r="285">
      <c r="H285" s="80"/>
    </row>
    <row r="286">
      <c r="H286" s="80"/>
    </row>
    <row r="287">
      <c r="H287" s="80"/>
    </row>
    <row r="288">
      <c r="H288" s="80"/>
    </row>
    <row r="289">
      <c r="H289" s="80"/>
    </row>
    <row r="290">
      <c r="H290" s="80"/>
    </row>
    <row r="291">
      <c r="H291" s="80"/>
    </row>
    <row r="292">
      <c r="H292" s="80"/>
    </row>
    <row r="293">
      <c r="H293" s="80"/>
    </row>
    <row r="294">
      <c r="H294" s="80"/>
    </row>
    <row r="295">
      <c r="H295" s="80"/>
    </row>
    <row r="296">
      <c r="H296" s="80"/>
    </row>
    <row r="297">
      <c r="H297" s="80"/>
    </row>
    <row r="298">
      <c r="H298" s="80"/>
    </row>
    <row r="299">
      <c r="H299" s="80"/>
    </row>
    <row r="300">
      <c r="H300" s="80"/>
    </row>
    <row r="301">
      <c r="H301" s="80"/>
    </row>
    <row r="302">
      <c r="H302" s="80"/>
    </row>
    <row r="303">
      <c r="H303" s="80"/>
    </row>
    <row r="304">
      <c r="H304" s="80"/>
    </row>
    <row r="305">
      <c r="H305" s="80"/>
    </row>
    <row r="306">
      <c r="H306" s="80"/>
    </row>
    <row r="307">
      <c r="H307" s="80"/>
    </row>
    <row r="308">
      <c r="H308" s="80"/>
    </row>
    <row r="309">
      <c r="H309" s="80"/>
    </row>
    <row r="310">
      <c r="H310" s="80"/>
    </row>
    <row r="311">
      <c r="H311" s="80"/>
    </row>
    <row r="312">
      <c r="H312" s="80"/>
    </row>
    <row r="313">
      <c r="H313" s="80"/>
    </row>
    <row r="314">
      <c r="H314" s="80"/>
    </row>
    <row r="315">
      <c r="H315" s="80"/>
    </row>
    <row r="316">
      <c r="H316" s="80"/>
    </row>
    <row r="317">
      <c r="H317" s="80"/>
    </row>
    <row r="318">
      <c r="H318" s="80"/>
    </row>
    <row r="319">
      <c r="H319" s="80"/>
    </row>
    <row r="320">
      <c r="H320" s="80"/>
    </row>
    <row r="321">
      <c r="H321" s="80"/>
    </row>
    <row r="322">
      <c r="H322" s="80"/>
    </row>
    <row r="323">
      <c r="H323" s="80"/>
    </row>
    <row r="324">
      <c r="H324" s="80"/>
    </row>
    <row r="325">
      <c r="H325" s="80"/>
    </row>
    <row r="326">
      <c r="H326" s="80"/>
    </row>
    <row r="327">
      <c r="H327" s="80"/>
    </row>
    <row r="328">
      <c r="H328" s="80"/>
    </row>
    <row r="329">
      <c r="H329" s="80"/>
    </row>
    <row r="330">
      <c r="H330" s="80"/>
    </row>
    <row r="331">
      <c r="H331" s="80"/>
    </row>
    <row r="332">
      <c r="H332" s="80"/>
    </row>
    <row r="333">
      <c r="H333" s="80"/>
    </row>
    <row r="334">
      <c r="H334" s="80"/>
    </row>
    <row r="335">
      <c r="H335" s="80"/>
    </row>
    <row r="336">
      <c r="H336" s="80"/>
    </row>
    <row r="337">
      <c r="H337" s="80"/>
    </row>
    <row r="338">
      <c r="H338" s="80"/>
    </row>
    <row r="339">
      <c r="H339" s="80"/>
    </row>
    <row r="340">
      <c r="H340" s="80"/>
    </row>
    <row r="341">
      <c r="H341" s="80"/>
    </row>
    <row r="342">
      <c r="H342" s="80"/>
    </row>
    <row r="343">
      <c r="H343" s="80"/>
    </row>
    <row r="344">
      <c r="H344" s="80"/>
    </row>
    <row r="345">
      <c r="H345" s="80"/>
    </row>
    <row r="346">
      <c r="H346" s="80"/>
    </row>
    <row r="347">
      <c r="H347" s="80"/>
    </row>
    <row r="348">
      <c r="H348" s="80"/>
    </row>
    <row r="349">
      <c r="H349" s="80"/>
    </row>
    <row r="350">
      <c r="H350" s="80"/>
    </row>
    <row r="351">
      <c r="H351" s="80"/>
    </row>
    <row r="352">
      <c r="H352" s="80"/>
    </row>
    <row r="353">
      <c r="H353" s="80"/>
    </row>
    <row r="354">
      <c r="H354" s="80"/>
    </row>
    <row r="355">
      <c r="H355" s="80"/>
    </row>
    <row r="356">
      <c r="H356" s="80"/>
    </row>
    <row r="357">
      <c r="H357" s="80"/>
    </row>
    <row r="358">
      <c r="H358" s="80"/>
    </row>
    <row r="359">
      <c r="H359" s="80"/>
    </row>
    <row r="360">
      <c r="H360" s="80"/>
    </row>
    <row r="361">
      <c r="H361" s="80"/>
    </row>
    <row r="362">
      <c r="H362" s="80"/>
    </row>
    <row r="363">
      <c r="H363" s="80"/>
    </row>
    <row r="364">
      <c r="H364" s="80"/>
    </row>
    <row r="365">
      <c r="H365" s="80"/>
    </row>
    <row r="366">
      <c r="H366" s="80"/>
    </row>
    <row r="367">
      <c r="H367" s="80"/>
    </row>
    <row r="368">
      <c r="H368" s="80"/>
    </row>
    <row r="369">
      <c r="H369" s="80"/>
    </row>
    <row r="370">
      <c r="H370" s="80"/>
    </row>
    <row r="371">
      <c r="H371" s="80"/>
    </row>
    <row r="372">
      <c r="H372" s="80"/>
    </row>
    <row r="373">
      <c r="H373" s="80"/>
    </row>
    <row r="374">
      <c r="H374" s="80"/>
    </row>
    <row r="375">
      <c r="H375" s="80"/>
    </row>
    <row r="376">
      <c r="H376" s="80"/>
    </row>
    <row r="377">
      <c r="H377" s="80"/>
    </row>
    <row r="378">
      <c r="H378" s="80"/>
    </row>
    <row r="379">
      <c r="H379" s="80"/>
    </row>
    <row r="380">
      <c r="H380" s="80"/>
    </row>
    <row r="381">
      <c r="H381" s="80"/>
    </row>
    <row r="382">
      <c r="H382" s="80"/>
    </row>
    <row r="383">
      <c r="H383" s="80"/>
    </row>
    <row r="384">
      <c r="H384" s="80"/>
    </row>
    <row r="385">
      <c r="H385" s="80"/>
    </row>
    <row r="386">
      <c r="H386" s="80"/>
    </row>
    <row r="387">
      <c r="H387" s="80"/>
    </row>
    <row r="388">
      <c r="H388" s="80"/>
    </row>
    <row r="389">
      <c r="H389" s="80"/>
    </row>
    <row r="390">
      <c r="H390" s="80"/>
    </row>
    <row r="391">
      <c r="H391" s="80"/>
    </row>
    <row r="392">
      <c r="H392" s="80"/>
    </row>
    <row r="393">
      <c r="H393" s="80"/>
    </row>
    <row r="394">
      <c r="H394" s="80"/>
    </row>
    <row r="395">
      <c r="H395" s="80"/>
    </row>
    <row r="396">
      <c r="H396" s="80"/>
    </row>
    <row r="397">
      <c r="H397" s="80"/>
    </row>
    <row r="398">
      <c r="H398" s="80"/>
    </row>
    <row r="399">
      <c r="H399" s="80"/>
    </row>
    <row r="400">
      <c r="H400" s="80"/>
    </row>
    <row r="401">
      <c r="H401" s="80"/>
    </row>
    <row r="402">
      <c r="H402" s="80"/>
    </row>
    <row r="403">
      <c r="H403" s="80"/>
    </row>
    <row r="404">
      <c r="H404" s="80"/>
    </row>
    <row r="405">
      <c r="H405" s="80"/>
    </row>
    <row r="406">
      <c r="H406" s="80"/>
    </row>
    <row r="407">
      <c r="H407" s="80"/>
    </row>
    <row r="408">
      <c r="H408" s="80"/>
    </row>
    <row r="409">
      <c r="H409" s="80"/>
    </row>
    <row r="410">
      <c r="H410" s="80"/>
    </row>
    <row r="411">
      <c r="H411" s="80"/>
    </row>
    <row r="412">
      <c r="H412" s="80"/>
    </row>
    <row r="413">
      <c r="H413" s="80"/>
    </row>
    <row r="414">
      <c r="H414" s="80"/>
    </row>
    <row r="415">
      <c r="H415" s="80"/>
    </row>
    <row r="416">
      <c r="H416" s="80"/>
    </row>
    <row r="417">
      <c r="H417" s="80"/>
    </row>
    <row r="418">
      <c r="H418" s="80"/>
    </row>
    <row r="419">
      <c r="H419" s="80"/>
    </row>
    <row r="420">
      <c r="H420" s="80"/>
    </row>
    <row r="421">
      <c r="H421" s="80"/>
    </row>
    <row r="422">
      <c r="H422" s="80"/>
    </row>
    <row r="423">
      <c r="H423" s="80"/>
    </row>
    <row r="424">
      <c r="H424" s="80"/>
    </row>
    <row r="425">
      <c r="H425" s="80"/>
    </row>
    <row r="426">
      <c r="H426" s="80"/>
    </row>
    <row r="427">
      <c r="H427" s="80"/>
    </row>
    <row r="428">
      <c r="H428" s="80"/>
    </row>
    <row r="429">
      <c r="H429" s="80"/>
    </row>
    <row r="430">
      <c r="H430" s="80"/>
    </row>
    <row r="431">
      <c r="H431" s="80"/>
    </row>
    <row r="432">
      <c r="H432" s="80"/>
    </row>
    <row r="433">
      <c r="H433" s="80"/>
    </row>
    <row r="434">
      <c r="H434" s="80"/>
    </row>
    <row r="435">
      <c r="H435" s="80"/>
    </row>
    <row r="436">
      <c r="H436" s="80"/>
    </row>
    <row r="437">
      <c r="H437" s="80"/>
    </row>
    <row r="438">
      <c r="H438" s="80"/>
    </row>
    <row r="439">
      <c r="H439" s="80"/>
    </row>
    <row r="440">
      <c r="H440" s="80"/>
    </row>
    <row r="441">
      <c r="H441" s="80"/>
    </row>
    <row r="442">
      <c r="H442" s="80"/>
    </row>
    <row r="443">
      <c r="H443" s="80"/>
    </row>
    <row r="444">
      <c r="H444" s="80"/>
    </row>
    <row r="445">
      <c r="H445" s="80"/>
    </row>
    <row r="446">
      <c r="H446" s="80"/>
    </row>
    <row r="447">
      <c r="H447" s="80"/>
    </row>
    <row r="448">
      <c r="H448" s="80"/>
    </row>
    <row r="449">
      <c r="H449" s="80"/>
    </row>
    <row r="450">
      <c r="H450" s="80"/>
    </row>
    <row r="451">
      <c r="H451" s="80"/>
    </row>
    <row r="452">
      <c r="H452" s="80"/>
    </row>
    <row r="453">
      <c r="H453" s="80"/>
    </row>
    <row r="454">
      <c r="H454" s="80"/>
    </row>
    <row r="455">
      <c r="H455" s="80"/>
    </row>
    <row r="456">
      <c r="H456" s="80"/>
    </row>
    <row r="457">
      <c r="H457" s="80"/>
    </row>
    <row r="458">
      <c r="H458" s="80"/>
    </row>
    <row r="459">
      <c r="H459" s="80"/>
    </row>
    <row r="460">
      <c r="H460" s="80"/>
    </row>
    <row r="461">
      <c r="H461" s="80"/>
    </row>
    <row r="462">
      <c r="H462" s="80"/>
    </row>
    <row r="463">
      <c r="H463" s="80"/>
    </row>
    <row r="464">
      <c r="H464" s="80"/>
    </row>
    <row r="465">
      <c r="H465" s="80"/>
    </row>
    <row r="466">
      <c r="H466" s="80"/>
    </row>
    <row r="467">
      <c r="H467" s="80"/>
    </row>
    <row r="468">
      <c r="H468" s="80"/>
    </row>
    <row r="469">
      <c r="H469" s="80"/>
    </row>
    <row r="470">
      <c r="H470" s="80"/>
    </row>
    <row r="471">
      <c r="H471" s="80"/>
    </row>
    <row r="472">
      <c r="H472" s="80"/>
    </row>
    <row r="473">
      <c r="H473" s="80"/>
    </row>
    <row r="474">
      <c r="H474" s="80"/>
    </row>
    <row r="475">
      <c r="H475" s="80"/>
    </row>
    <row r="476">
      <c r="H476" s="80"/>
    </row>
    <row r="477">
      <c r="H477" s="80"/>
    </row>
    <row r="478">
      <c r="H478" s="80"/>
    </row>
    <row r="479">
      <c r="H479" s="80"/>
    </row>
    <row r="480">
      <c r="H480" s="80"/>
    </row>
    <row r="481">
      <c r="H481" s="80"/>
    </row>
    <row r="482">
      <c r="H482" s="80"/>
    </row>
    <row r="483">
      <c r="H483" s="80"/>
    </row>
    <row r="484">
      <c r="H484" s="80"/>
    </row>
    <row r="485">
      <c r="H485" s="80"/>
    </row>
    <row r="486">
      <c r="H486" s="80"/>
    </row>
    <row r="487">
      <c r="H487" s="80"/>
    </row>
    <row r="488">
      <c r="H488" s="80"/>
    </row>
    <row r="489">
      <c r="H489" s="80"/>
    </row>
    <row r="490">
      <c r="H490" s="80"/>
    </row>
    <row r="491">
      <c r="H491" s="80"/>
    </row>
    <row r="492">
      <c r="H492" s="80"/>
    </row>
    <row r="493">
      <c r="H493" s="80"/>
    </row>
    <row r="494">
      <c r="H494" s="80"/>
    </row>
    <row r="495">
      <c r="H495" s="80"/>
    </row>
    <row r="496">
      <c r="H496" s="80"/>
    </row>
    <row r="497">
      <c r="H497" s="80"/>
    </row>
    <row r="498">
      <c r="H498" s="80"/>
    </row>
    <row r="499">
      <c r="H499" s="80"/>
    </row>
    <row r="500">
      <c r="H500" s="80"/>
    </row>
    <row r="501">
      <c r="H501" s="80"/>
    </row>
    <row r="502">
      <c r="H502" s="80"/>
    </row>
    <row r="503">
      <c r="H503" s="80"/>
    </row>
    <row r="504">
      <c r="H504" s="80"/>
    </row>
    <row r="505">
      <c r="H505" s="80"/>
    </row>
    <row r="506">
      <c r="H506" s="80"/>
    </row>
    <row r="507">
      <c r="H507" s="80"/>
    </row>
    <row r="508">
      <c r="H508" s="80"/>
    </row>
    <row r="509">
      <c r="H509" s="80"/>
    </row>
    <row r="510">
      <c r="H510" s="80"/>
    </row>
    <row r="511">
      <c r="H511" s="80"/>
    </row>
    <row r="512">
      <c r="H512" s="80"/>
    </row>
    <row r="513">
      <c r="H513" s="80"/>
    </row>
    <row r="514">
      <c r="H514" s="80"/>
    </row>
    <row r="515">
      <c r="H515" s="80"/>
    </row>
    <row r="516">
      <c r="H516" s="80"/>
    </row>
    <row r="517">
      <c r="H517" s="80"/>
    </row>
    <row r="518">
      <c r="H518" s="80"/>
    </row>
    <row r="519">
      <c r="H519" s="80"/>
    </row>
    <row r="520">
      <c r="H520" s="80"/>
    </row>
    <row r="521">
      <c r="H521" s="80"/>
    </row>
    <row r="522">
      <c r="H522" s="80"/>
    </row>
    <row r="523">
      <c r="H523" s="80"/>
    </row>
    <row r="524">
      <c r="H524" s="80"/>
    </row>
    <row r="525">
      <c r="H525" s="80"/>
    </row>
    <row r="526">
      <c r="H526" s="80"/>
    </row>
    <row r="527">
      <c r="H527" s="80"/>
    </row>
    <row r="528">
      <c r="H528" s="80"/>
    </row>
    <row r="529">
      <c r="H529" s="80"/>
    </row>
    <row r="530">
      <c r="H530" s="80"/>
    </row>
    <row r="531">
      <c r="H531" s="80"/>
    </row>
    <row r="532">
      <c r="H532" s="80"/>
    </row>
    <row r="533">
      <c r="H533" s="80"/>
    </row>
    <row r="534">
      <c r="H534" s="80"/>
    </row>
    <row r="535">
      <c r="H535" s="80"/>
    </row>
    <row r="536">
      <c r="H536" s="80"/>
    </row>
    <row r="537">
      <c r="H537" s="80"/>
    </row>
    <row r="538">
      <c r="H538" s="80"/>
    </row>
    <row r="539">
      <c r="H539" s="80"/>
    </row>
    <row r="540">
      <c r="H540" s="80"/>
    </row>
    <row r="541">
      <c r="H541" s="80"/>
    </row>
    <row r="542">
      <c r="H542" s="80"/>
    </row>
    <row r="543">
      <c r="H543" s="80"/>
    </row>
    <row r="544">
      <c r="H544" s="80"/>
    </row>
    <row r="545">
      <c r="H545" s="80"/>
    </row>
    <row r="546">
      <c r="H546" s="80"/>
    </row>
    <row r="547">
      <c r="H547" s="80"/>
    </row>
    <row r="548">
      <c r="H548" s="80"/>
    </row>
    <row r="549">
      <c r="H549" s="80"/>
    </row>
    <row r="550">
      <c r="H550" s="80"/>
    </row>
    <row r="551">
      <c r="H551" s="80"/>
    </row>
    <row r="552">
      <c r="H552" s="80"/>
    </row>
    <row r="553">
      <c r="H553" s="80"/>
    </row>
    <row r="554">
      <c r="H554" s="80"/>
    </row>
    <row r="555">
      <c r="H555" s="80"/>
    </row>
    <row r="556">
      <c r="H556" s="80"/>
    </row>
    <row r="557">
      <c r="H557" s="80"/>
    </row>
    <row r="558">
      <c r="H558" s="80"/>
    </row>
    <row r="559">
      <c r="H559" s="80"/>
    </row>
    <row r="560">
      <c r="H560" s="80"/>
    </row>
    <row r="561">
      <c r="H561" s="80"/>
    </row>
    <row r="562">
      <c r="H562" s="80"/>
    </row>
    <row r="563">
      <c r="H563" s="80"/>
    </row>
    <row r="564">
      <c r="H564" s="80"/>
    </row>
    <row r="565">
      <c r="H565" s="80"/>
    </row>
    <row r="566">
      <c r="H566" s="80"/>
    </row>
    <row r="567">
      <c r="H567" s="80"/>
    </row>
    <row r="568">
      <c r="H568" s="80"/>
    </row>
    <row r="569">
      <c r="H569" s="80"/>
    </row>
    <row r="570">
      <c r="H570" s="80"/>
    </row>
    <row r="571">
      <c r="H571" s="80"/>
    </row>
    <row r="572">
      <c r="H572" s="80"/>
    </row>
    <row r="573">
      <c r="H573" s="80"/>
    </row>
    <row r="574">
      <c r="H574" s="80"/>
    </row>
    <row r="575">
      <c r="H575" s="80"/>
    </row>
    <row r="576">
      <c r="H576" s="80"/>
    </row>
    <row r="577">
      <c r="H577" s="80"/>
    </row>
    <row r="578">
      <c r="H578" s="80"/>
    </row>
    <row r="579">
      <c r="H579" s="80"/>
    </row>
    <row r="580">
      <c r="H580" s="80"/>
    </row>
    <row r="581">
      <c r="H581" s="80"/>
    </row>
    <row r="582">
      <c r="H582" s="80"/>
    </row>
    <row r="583">
      <c r="H583" s="80"/>
    </row>
    <row r="584">
      <c r="H584" s="80"/>
    </row>
    <row r="585">
      <c r="H585" s="80"/>
    </row>
    <row r="586">
      <c r="H586" s="80"/>
    </row>
    <row r="587">
      <c r="H587" s="80"/>
    </row>
    <row r="588">
      <c r="H588" s="80"/>
    </row>
    <row r="589">
      <c r="H589" s="80"/>
    </row>
    <row r="590">
      <c r="H590" s="80"/>
    </row>
    <row r="591">
      <c r="H591" s="80"/>
    </row>
    <row r="592">
      <c r="H592" s="80"/>
    </row>
    <row r="593">
      <c r="H593" s="80"/>
    </row>
    <row r="594">
      <c r="H594" s="80"/>
    </row>
    <row r="595">
      <c r="H595" s="80"/>
    </row>
    <row r="596">
      <c r="H596" s="80"/>
    </row>
    <row r="597">
      <c r="H597" s="80"/>
    </row>
    <row r="598">
      <c r="H598" s="80"/>
    </row>
    <row r="599">
      <c r="H599" s="80"/>
    </row>
    <row r="600">
      <c r="H600" s="80"/>
    </row>
    <row r="601">
      <c r="H601" s="80"/>
    </row>
    <row r="602">
      <c r="H602" s="80"/>
    </row>
    <row r="603">
      <c r="H603" s="80"/>
    </row>
    <row r="604">
      <c r="H604" s="80"/>
    </row>
    <row r="605">
      <c r="H605" s="80"/>
    </row>
    <row r="606">
      <c r="H606" s="80"/>
    </row>
    <row r="607">
      <c r="H607" s="80"/>
    </row>
    <row r="608">
      <c r="H608" s="80"/>
    </row>
    <row r="609">
      <c r="H609" s="80"/>
    </row>
    <row r="610">
      <c r="H610" s="80"/>
    </row>
    <row r="611">
      <c r="H611" s="80"/>
    </row>
    <row r="612">
      <c r="H612" s="80"/>
    </row>
    <row r="613">
      <c r="H613" s="80"/>
    </row>
    <row r="614">
      <c r="H614" s="80"/>
    </row>
    <row r="615">
      <c r="H615" s="80"/>
    </row>
    <row r="616">
      <c r="H616" s="80"/>
    </row>
    <row r="617">
      <c r="H617" s="80"/>
    </row>
    <row r="618">
      <c r="H618" s="80"/>
    </row>
    <row r="619">
      <c r="H619" s="80"/>
    </row>
    <row r="620">
      <c r="H620" s="80"/>
    </row>
    <row r="621">
      <c r="H621" s="80"/>
    </row>
    <row r="622">
      <c r="H622" s="80"/>
    </row>
    <row r="623">
      <c r="H623" s="80"/>
    </row>
    <row r="624">
      <c r="H624" s="80"/>
    </row>
    <row r="625">
      <c r="H625" s="80"/>
    </row>
    <row r="626">
      <c r="H626" s="80"/>
    </row>
    <row r="627">
      <c r="H627" s="80"/>
    </row>
    <row r="628">
      <c r="H628" s="80"/>
    </row>
    <row r="629">
      <c r="H629" s="80"/>
    </row>
    <row r="630">
      <c r="H630" s="80"/>
    </row>
    <row r="631">
      <c r="H631" s="80"/>
    </row>
    <row r="632">
      <c r="H632" s="80"/>
    </row>
    <row r="633">
      <c r="H633" s="80"/>
    </row>
    <row r="634">
      <c r="H634" s="80"/>
    </row>
    <row r="635">
      <c r="H635" s="80"/>
    </row>
    <row r="636">
      <c r="H636" s="80"/>
    </row>
    <row r="637">
      <c r="H637" s="80"/>
    </row>
    <row r="638">
      <c r="H638" s="80"/>
    </row>
    <row r="639">
      <c r="H639" s="80"/>
    </row>
    <row r="640">
      <c r="H640" s="80"/>
    </row>
    <row r="641">
      <c r="H641" s="80"/>
    </row>
    <row r="642">
      <c r="H642" s="80"/>
    </row>
    <row r="643">
      <c r="H643" s="80"/>
    </row>
    <row r="644">
      <c r="H644" s="80"/>
    </row>
    <row r="645">
      <c r="H645" s="80"/>
    </row>
    <row r="646">
      <c r="H646" s="80"/>
    </row>
    <row r="647">
      <c r="H647" s="80"/>
    </row>
    <row r="648">
      <c r="H648" s="80"/>
    </row>
    <row r="649">
      <c r="H649" s="80"/>
    </row>
    <row r="650">
      <c r="H650" s="80"/>
    </row>
    <row r="651">
      <c r="H651" s="80"/>
    </row>
    <row r="652">
      <c r="H652" s="80"/>
    </row>
    <row r="653">
      <c r="H653" s="80"/>
    </row>
    <row r="654">
      <c r="H654" s="80"/>
    </row>
    <row r="655">
      <c r="H655" s="80"/>
    </row>
    <row r="656">
      <c r="H656" s="80"/>
    </row>
    <row r="657">
      <c r="H657" s="80"/>
    </row>
    <row r="658">
      <c r="H658" s="80"/>
    </row>
    <row r="659">
      <c r="H659" s="80"/>
    </row>
    <row r="660">
      <c r="H660" s="80"/>
    </row>
    <row r="661">
      <c r="H661" s="80"/>
    </row>
    <row r="662">
      <c r="H662" s="80"/>
    </row>
    <row r="663">
      <c r="H663" s="80"/>
    </row>
    <row r="664">
      <c r="H664" s="80"/>
    </row>
    <row r="665">
      <c r="H665" s="80"/>
    </row>
    <row r="666">
      <c r="H666" s="80"/>
    </row>
    <row r="667">
      <c r="H667" s="80"/>
    </row>
    <row r="668">
      <c r="H668" s="80"/>
    </row>
    <row r="669">
      <c r="H669" s="80"/>
    </row>
    <row r="670">
      <c r="H670" s="80"/>
    </row>
    <row r="671">
      <c r="H671" s="80"/>
    </row>
    <row r="672">
      <c r="H672" s="80"/>
    </row>
    <row r="673">
      <c r="H673" s="80"/>
    </row>
    <row r="674">
      <c r="H674" s="80"/>
    </row>
    <row r="675">
      <c r="H675" s="80"/>
    </row>
    <row r="676">
      <c r="H676" s="80"/>
    </row>
    <row r="677">
      <c r="H677" s="80"/>
    </row>
    <row r="678">
      <c r="H678" s="80"/>
    </row>
    <row r="679">
      <c r="H679" s="80"/>
    </row>
    <row r="680">
      <c r="H680" s="80"/>
    </row>
    <row r="681">
      <c r="H681" s="80"/>
    </row>
    <row r="682">
      <c r="H682" s="80"/>
    </row>
    <row r="683">
      <c r="H683" s="80"/>
    </row>
    <row r="684">
      <c r="H684" s="80"/>
    </row>
    <row r="685">
      <c r="H685" s="80"/>
    </row>
    <row r="686">
      <c r="H686" s="80"/>
    </row>
    <row r="687">
      <c r="H687" s="80"/>
    </row>
    <row r="688">
      <c r="H688" s="80"/>
    </row>
    <row r="689">
      <c r="H689" s="80"/>
    </row>
    <row r="690">
      <c r="H690" s="80"/>
    </row>
    <row r="691">
      <c r="H691" s="80"/>
    </row>
    <row r="692">
      <c r="H692" s="80"/>
    </row>
    <row r="693">
      <c r="H693" s="80"/>
    </row>
    <row r="694">
      <c r="H694" s="80"/>
    </row>
    <row r="695">
      <c r="H695" s="80"/>
    </row>
    <row r="696">
      <c r="H696" s="80"/>
    </row>
    <row r="697">
      <c r="H697" s="80"/>
    </row>
    <row r="698">
      <c r="H698" s="80"/>
    </row>
    <row r="699">
      <c r="H699" s="80"/>
    </row>
    <row r="700">
      <c r="H700" s="80"/>
    </row>
    <row r="701">
      <c r="H701" s="80"/>
    </row>
    <row r="702">
      <c r="H702" s="80"/>
    </row>
    <row r="703">
      <c r="H703" s="80"/>
    </row>
    <row r="704">
      <c r="H704" s="80"/>
    </row>
    <row r="705">
      <c r="H705" s="80"/>
    </row>
    <row r="706">
      <c r="H706" s="80"/>
    </row>
    <row r="707">
      <c r="H707" s="80"/>
    </row>
    <row r="708">
      <c r="H708" s="80"/>
    </row>
    <row r="709">
      <c r="H709" s="80"/>
    </row>
    <row r="710">
      <c r="H710" s="80"/>
    </row>
    <row r="711">
      <c r="H711" s="80"/>
    </row>
    <row r="712">
      <c r="H712" s="80"/>
    </row>
    <row r="713">
      <c r="H713" s="80"/>
    </row>
    <row r="714">
      <c r="H714" s="80"/>
    </row>
    <row r="715">
      <c r="H715" s="80"/>
    </row>
    <row r="716">
      <c r="H716" s="80"/>
    </row>
    <row r="717">
      <c r="H717" s="80"/>
    </row>
    <row r="718">
      <c r="H718" s="80"/>
    </row>
    <row r="719">
      <c r="H719" s="80"/>
    </row>
    <row r="720">
      <c r="H720" s="80"/>
    </row>
    <row r="721">
      <c r="H721" s="80"/>
    </row>
    <row r="722">
      <c r="H722" s="80"/>
    </row>
    <row r="723">
      <c r="H723" s="80"/>
    </row>
    <row r="724">
      <c r="H724" s="80"/>
    </row>
    <row r="725">
      <c r="H725" s="80"/>
    </row>
    <row r="726">
      <c r="H726" s="80"/>
    </row>
    <row r="727">
      <c r="H727" s="80"/>
    </row>
    <row r="728">
      <c r="H728" s="80"/>
    </row>
    <row r="729">
      <c r="H729" s="80"/>
    </row>
    <row r="730">
      <c r="H730" s="80"/>
    </row>
    <row r="731">
      <c r="H731" s="80"/>
    </row>
    <row r="732">
      <c r="H732" s="80"/>
    </row>
    <row r="733">
      <c r="H733" s="80"/>
    </row>
    <row r="734">
      <c r="H734" s="80"/>
    </row>
    <row r="735">
      <c r="H735" s="80"/>
    </row>
    <row r="736">
      <c r="H736" s="80"/>
    </row>
    <row r="737">
      <c r="H737" s="80"/>
    </row>
    <row r="738">
      <c r="H738" s="80"/>
    </row>
    <row r="739">
      <c r="H739" s="80"/>
    </row>
    <row r="740">
      <c r="H740" s="80"/>
    </row>
    <row r="741">
      <c r="H741" s="80"/>
    </row>
    <row r="742">
      <c r="H742" s="80"/>
    </row>
    <row r="743">
      <c r="H743" s="80"/>
    </row>
    <row r="744">
      <c r="H744" s="80"/>
    </row>
    <row r="745">
      <c r="H745" s="80"/>
    </row>
    <row r="746">
      <c r="H746" s="80"/>
    </row>
    <row r="747">
      <c r="H747" s="80"/>
    </row>
    <row r="748">
      <c r="H748" s="80"/>
    </row>
    <row r="749">
      <c r="H749" s="80"/>
    </row>
    <row r="750">
      <c r="H750" s="80"/>
    </row>
    <row r="751">
      <c r="H751" s="80"/>
    </row>
    <row r="752">
      <c r="H752" s="80"/>
    </row>
    <row r="753">
      <c r="H753" s="80"/>
    </row>
    <row r="754">
      <c r="H754" s="80"/>
    </row>
    <row r="755">
      <c r="H755" s="80"/>
    </row>
    <row r="756">
      <c r="H756" s="80"/>
    </row>
    <row r="757">
      <c r="H757" s="80"/>
    </row>
    <row r="758">
      <c r="H758" s="80"/>
    </row>
    <row r="759">
      <c r="H759" s="80"/>
    </row>
    <row r="760">
      <c r="H760" s="80"/>
    </row>
    <row r="761">
      <c r="H761" s="80"/>
    </row>
    <row r="762">
      <c r="H762" s="80"/>
    </row>
    <row r="763">
      <c r="H763" s="80"/>
    </row>
    <row r="764">
      <c r="H764" s="80"/>
    </row>
    <row r="765">
      <c r="H765" s="80"/>
    </row>
    <row r="766">
      <c r="H766" s="80"/>
    </row>
    <row r="767">
      <c r="H767" s="80"/>
    </row>
    <row r="768">
      <c r="H768" s="80"/>
    </row>
    <row r="769">
      <c r="H769" s="80"/>
    </row>
    <row r="770">
      <c r="H770" s="80"/>
    </row>
    <row r="771">
      <c r="H771" s="80"/>
    </row>
    <row r="772">
      <c r="H772" s="80"/>
    </row>
    <row r="773">
      <c r="H773" s="80"/>
    </row>
    <row r="774">
      <c r="H774" s="80"/>
    </row>
    <row r="775">
      <c r="H775" s="80"/>
    </row>
    <row r="776">
      <c r="H776" s="80"/>
    </row>
    <row r="777">
      <c r="H777" s="80"/>
    </row>
    <row r="778">
      <c r="H778" s="80"/>
    </row>
    <row r="779">
      <c r="H779" s="80"/>
    </row>
    <row r="780">
      <c r="H780" s="80"/>
    </row>
    <row r="781">
      <c r="H781" s="80"/>
    </row>
    <row r="782">
      <c r="H782" s="80"/>
    </row>
    <row r="783">
      <c r="H783" s="80"/>
    </row>
    <row r="784">
      <c r="H784" s="80"/>
    </row>
    <row r="785">
      <c r="H785" s="80"/>
    </row>
    <row r="786">
      <c r="H786" s="80"/>
    </row>
    <row r="787">
      <c r="H787" s="80"/>
    </row>
    <row r="788">
      <c r="H788" s="80"/>
    </row>
    <row r="789">
      <c r="H789" s="80"/>
    </row>
    <row r="790">
      <c r="H790" s="80"/>
    </row>
    <row r="791">
      <c r="H791" s="80"/>
    </row>
    <row r="792">
      <c r="H792" s="80"/>
    </row>
    <row r="793">
      <c r="H793" s="80"/>
    </row>
    <row r="794">
      <c r="H794" s="80"/>
    </row>
    <row r="795">
      <c r="H795" s="80"/>
    </row>
    <row r="796">
      <c r="H796" s="80"/>
    </row>
    <row r="797">
      <c r="H797" s="80"/>
    </row>
    <row r="798">
      <c r="H798" s="80"/>
    </row>
    <row r="799">
      <c r="H799" s="80"/>
    </row>
    <row r="800">
      <c r="H800" s="80"/>
    </row>
    <row r="801">
      <c r="H801" s="80"/>
    </row>
    <row r="802">
      <c r="H802" s="80"/>
    </row>
    <row r="803">
      <c r="H803" s="80"/>
    </row>
    <row r="804">
      <c r="H804" s="80"/>
    </row>
    <row r="805">
      <c r="H805" s="80"/>
    </row>
    <row r="806">
      <c r="H806" s="80"/>
    </row>
    <row r="807">
      <c r="H807" s="80"/>
    </row>
    <row r="808">
      <c r="H808" s="80"/>
    </row>
    <row r="809">
      <c r="H809" s="80"/>
    </row>
    <row r="810">
      <c r="H810" s="80"/>
    </row>
    <row r="811">
      <c r="H811" s="80"/>
    </row>
    <row r="812">
      <c r="H812" s="80"/>
    </row>
    <row r="813">
      <c r="H813" s="80"/>
    </row>
    <row r="814">
      <c r="H814" s="80"/>
    </row>
    <row r="815">
      <c r="H815" s="80"/>
    </row>
    <row r="816">
      <c r="H816" s="80"/>
    </row>
    <row r="817">
      <c r="H817" s="80"/>
    </row>
    <row r="818">
      <c r="H818" s="80"/>
    </row>
    <row r="819">
      <c r="H819" s="80"/>
    </row>
    <row r="820">
      <c r="H820" s="80"/>
    </row>
    <row r="821">
      <c r="H821" s="80"/>
    </row>
    <row r="822">
      <c r="H822" s="80"/>
    </row>
    <row r="823">
      <c r="H823" s="80"/>
    </row>
    <row r="824">
      <c r="H824" s="80"/>
    </row>
    <row r="825">
      <c r="H825" s="80"/>
    </row>
    <row r="826">
      <c r="H826" s="80"/>
    </row>
    <row r="827">
      <c r="H827" s="80"/>
    </row>
    <row r="828">
      <c r="H828" s="80"/>
    </row>
    <row r="829">
      <c r="H829" s="80"/>
    </row>
    <row r="830">
      <c r="H830" s="80"/>
    </row>
    <row r="831">
      <c r="H831" s="80"/>
    </row>
    <row r="832">
      <c r="H832" s="80"/>
    </row>
    <row r="833">
      <c r="H833" s="80"/>
    </row>
    <row r="834">
      <c r="H834" s="80"/>
    </row>
    <row r="835">
      <c r="H835" s="80"/>
    </row>
    <row r="836">
      <c r="H836" s="80"/>
    </row>
    <row r="837">
      <c r="H837" s="80"/>
    </row>
    <row r="838">
      <c r="H838" s="80"/>
    </row>
    <row r="839">
      <c r="H839" s="80"/>
    </row>
    <row r="840">
      <c r="H840" s="80"/>
    </row>
    <row r="841">
      <c r="H841" s="80"/>
    </row>
    <row r="842">
      <c r="H842" s="80"/>
    </row>
    <row r="843">
      <c r="H843" s="80"/>
    </row>
    <row r="844">
      <c r="H844" s="80"/>
    </row>
    <row r="845">
      <c r="H845" s="80"/>
    </row>
    <row r="846">
      <c r="H846" s="80"/>
    </row>
    <row r="847">
      <c r="H847" s="80"/>
    </row>
    <row r="848">
      <c r="H848" s="80"/>
    </row>
    <row r="849">
      <c r="H849" s="80"/>
    </row>
    <row r="850">
      <c r="H850" s="80"/>
    </row>
    <row r="851">
      <c r="H851" s="80"/>
    </row>
    <row r="852">
      <c r="H852" s="80"/>
    </row>
    <row r="853">
      <c r="H853" s="80"/>
    </row>
    <row r="854">
      <c r="H854" s="80"/>
    </row>
    <row r="855">
      <c r="H855" s="80"/>
    </row>
    <row r="856">
      <c r="H856" s="80"/>
    </row>
    <row r="857">
      <c r="H857" s="80"/>
    </row>
    <row r="858">
      <c r="H858" s="80"/>
    </row>
    <row r="859">
      <c r="H859" s="80"/>
    </row>
    <row r="860">
      <c r="H860" s="80"/>
    </row>
    <row r="861">
      <c r="H861" s="80"/>
    </row>
    <row r="862">
      <c r="H862" s="80"/>
    </row>
    <row r="863">
      <c r="H863" s="80"/>
    </row>
    <row r="864">
      <c r="H864" s="80"/>
    </row>
    <row r="865">
      <c r="H865" s="80"/>
    </row>
    <row r="866">
      <c r="H866" s="80"/>
    </row>
    <row r="867">
      <c r="H867" s="80"/>
    </row>
    <row r="868">
      <c r="H868" s="80"/>
    </row>
    <row r="869">
      <c r="H869" s="80"/>
    </row>
    <row r="870">
      <c r="H870" s="80"/>
    </row>
    <row r="871">
      <c r="H871" s="80"/>
    </row>
    <row r="872">
      <c r="H872" s="80"/>
    </row>
    <row r="873">
      <c r="H873" s="80"/>
    </row>
    <row r="874">
      <c r="H874" s="80"/>
    </row>
    <row r="875">
      <c r="H875" s="80"/>
    </row>
    <row r="876">
      <c r="H876" s="80"/>
    </row>
    <row r="877">
      <c r="H877" s="80"/>
    </row>
    <row r="878">
      <c r="H878" s="80"/>
    </row>
    <row r="879">
      <c r="H879" s="80"/>
    </row>
    <row r="880">
      <c r="H880" s="80"/>
    </row>
    <row r="881">
      <c r="H881" s="80"/>
    </row>
    <row r="882">
      <c r="H882" s="80"/>
    </row>
    <row r="883">
      <c r="H883" s="80"/>
    </row>
    <row r="884">
      <c r="H884" s="80"/>
    </row>
    <row r="885">
      <c r="H885" s="80"/>
    </row>
    <row r="886">
      <c r="H886" s="80"/>
    </row>
    <row r="887">
      <c r="H887" s="80"/>
    </row>
    <row r="888">
      <c r="H888" s="80"/>
    </row>
    <row r="889">
      <c r="H889" s="80"/>
    </row>
    <row r="890">
      <c r="H890" s="80"/>
    </row>
    <row r="891">
      <c r="H891" s="80"/>
    </row>
    <row r="892">
      <c r="H892" s="80"/>
    </row>
    <row r="893">
      <c r="H893" s="80"/>
    </row>
    <row r="894">
      <c r="H894" s="80"/>
    </row>
    <row r="895">
      <c r="H895" s="80"/>
    </row>
    <row r="896">
      <c r="H896" s="80"/>
    </row>
    <row r="897">
      <c r="H897" s="80"/>
    </row>
    <row r="898">
      <c r="H898" s="80"/>
    </row>
    <row r="899">
      <c r="H899" s="80"/>
    </row>
    <row r="900">
      <c r="H900" s="80"/>
    </row>
    <row r="901">
      <c r="H901" s="80"/>
    </row>
    <row r="902">
      <c r="H902" s="80"/>
    </row>
    <row r="903">
      <c r="H903" s="80"/>
    </row>
    <row r="904">
      <c r="H904" s="80"/>
    </row>
    <row r="905">
      <c r="H905" s="80"/>
    </row>
    <row r="906">
      <c r="H906" s="80"/>
    </row>
    <row r="907">
      <c r="H907" s="80"/>
    </row>
    <row r="908">
      <c r="H908" s="80"/>
    </row>
    <row r="909">
      <c r="H909" s="80"/>
    </row>
    <row r="910">
      <c r="H910" s="80"/>
    </row>
    <row r="911">
      <c r="H911" s="80"/>
    </row>
    <row r="912">
      <c r="H912" s="80"/>
    </row>
    <row r="913">
      <c r="H913" s="80"/>
    </row>
    <row r="914">
      <c r="H914" s="80"/>
    </row>
    <row r="915">
      <c r="H915" s="80"/>
    </row>
    <row r="916">
      <c r="H916" s="80"/>
    </row>
    <row r="917">
      <c r="H917" s="80"/>
    </row>
    <row r="918">
      <c r="H918" s="80"/>
    </row>
    <row r="919">
      <c r="H919" s="80"/>
    </row>
    <row r="920">
      <c r="H920" s="80"/>
    </row>
    <row r="921">
      <c r="H921" s="80"/>
    </row>
    <row r="922">
      <c r="H922" s="80"/>
    </row>
    <row r="923">
      <c r="H923" s="80"/>
    </row>
    <row r="924">
      <c r="H924" s="80"/>
    </row>
    <row r="925">
      <c r="H925" s="80"/>
    </row>
    <row r="926">
      <c r="H926" s="80"/>
    </row>
    <row r="927">
      <c r="H927" s="80"/>
    </row>
    <row r="928">
      <c r="H928" s="80"/>
    </row>
    <row r="929">
      <c r="H929" s="80"/>
    </row>
    <row r="930">
      <c r="H930" s="80"/>
    </row>
    <row r="931">
      <c r="H931" s="80"/>
    </row>
    <row r="932">
      <c r="H932" s="80"/>
    </row>
    <row r="933">
      <c r="H933" s="80"/>
    </row>
    <row r="934">
      <c r="H934" s="80"/>
    </row>
    <row r="935">
      <c r="H935" s="80"/>
    </row>
    <row r="936">
      <c r="H936" s="80"/>
    </row>
    <row r="937">
      <c r="H937" s="80"/>
    </row>
    <row r="938">
      <c r="H938" s="80"/>
    </row>
    <row r="939">
      <c r="H939" s="80"/>
    </row>
    <row r="940">
      <c r="H940" s="80"/>
    </row>
    <row r="941">
      <c r="H941" s="80"/>
    </row>
    <row r="942">
      <c r="H942" s="80"/>
    </row>
    <row r="943">
      <c r="H943" s="80"/>
    </row>
    <row r="944">
      <c r="H944" s="80"/>
    </row>
    <row r="945">
      <c r="H945" s="80"/>
    </row>
    <row r="946">
      <c r="H946" s="80"/>
    </row>
    <row r="947">
      <c r="H947" s="80"/>
    </row>
    <row r="948">
      <c r="H948" s="80"/>
    </row>
    <row r="949">
      <c r="H949" s="80"/>
    </row>
    <row r="950">
      <c r="H950" s="80"/>
    </row>
    <row r="951">
      <c r="H951" s="80"/>
    </row>
    <row r="952">
      <c r="H952" s="80"/>
    </row>
    <row r="953">
      <c r="H953" s="80"/>
    </row>
    <row r="954">
      <c r="H954" s="80"/>
    </row>
    <row r="955">
      <c r="H955" s="80"/>
    </row>
    <row r="956">
      <c r="H956" s="80"/>
    </row>
    <row r="957">
      <c r="H957" s="80"/>
    </row>
    <row r="958">
      <c r="H958" s="80"/>
    </row>
    <row r="959">
      <c r="H959" s="80"/>
    </row>
    <row r="960">
      <c r="H960" s="80"/>
    </row>
    <row r="961">
      <c r="H961" s="80"/>
    </row>
    <row r="962">
      <c r="H962" s="80"/>
    </row>
    <row r="963">
      <c r="H963" s="80"/>
    </row>
    <row r="964">
      <c r="H964" s="80"/>
    </row>
    <row r="965">
      <c r="H965" s="80"/>
    </row>
    <row r="966">
      <c r="H966" s="80"/>
    </row>
    <row r="967">
      <c r="H967" s="80"/>
    </row>
    <row r="968">
      <c r="H968" s="80"/>
    </row>
    <row r="969">
      <c r="H969" s="80"/>
    </row>
    <row r="970">
      <c r="H970" s="80"/>
    </row>
    <row r="971">
      <c r="H971" s="80"/>
    </row>
    <row r="972">
      <c r="H972" s="80"/>
    </row>
    <row r="973">
      <c r="H973" s="80"/>
    </row>
    <row r="974">
      <c r="H974" s="80"/>
    </row>
    <row r="975">
      <c r="H975" s="80"/>
    </row>
    <row r="976">
      <c r="H976" s="80"/>
    </row>
    <row r="977">
      <c r="H977" s="80"/>
    </row>
    <row r="978">
      <c r="H978" s="80"/>
    </row>
    <row r="979">
      <c r="H979" s="80"/>
    </row>
    <row r="980">
      <c r="H980" s="80"/>
    </row>
    <row r="981">
      <c r="H981" s="80"/>
    </row>
    <row r="982">
      <c r="H982" s="80"/>
    </row>
    <row r="983">
      <c r="H983" s="80"/>
    </row>
    <row r="984">
      <c r="H984" s="80"/>
    </row>
    <row r="985">
      <c r="H985" s="80"/>
    </row>
    <row r="986">
      <c r="H986" s="80"/>
    </row>
    <row r="987">
      <c r="H987" s="80"/>
    </row>
    <row r="988">
      <c r="H988" s="80"/>
    </row>
    <row r="989">
      <c r="H989" s="80"/>
    </row>
    <row r="990">
      <c r="H990" s="80"/>
    </row>
    <row r="991">
      <c r="H991" s="80"/>
    </row>
    <row r="992">
      <c r="H992" s="80"/>
    </row>
    <row r="993">
      <c r="H993" s="80"/>
    </row>
    <row r="994">
      <c r="H994" s="80"/>
    </row>
    <row r="995">
      <c r="H995" s="80"/>
    </row>
    <row r="996">
      <c r="H996" s="80"/>
    </row>
    <row r="997">
      <c r="H997" s="80"/>
    </row>
    <row r="998">
      <c r="H998" s="80"/>
    </row>
    <row r="999">
      <c r="H999" s="80"/>
    </row>
    <row r="1000">
      <c r="H1000" s="80"/>
    </row>
  </sheetData>
  <dataValidations>
    <dataValidation type="custom" allowBlank="1" showDropDown="1" sqref="F2:H6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